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ersdh/Docs/GitHub/repos/maker-auto_gradient_equilibration/experiments/"/>
    </mc:Choice>
  </mc:AlternateContent>
  <xr:revisionPtr revIDLastSave="0" documentId="13_ncr:1_{25CAE4CC-60D1-784D-9C94-DB8333AFBD25}" xr6:coauthVersionLast="47" xr6:coauthVersionMax="47" xr10:uidLastSave="{00000000-0000-0000-0000-000000000000}"/>
  <bookViews>
    <workbookView xWindow="2780" yWindow="1580" windowWidth="16060" windowHeight="13740" activeTab="1" xr2:uid="{3B47E96C-C9B2-C548-853E-FB8C88EE2EFB}"/>
  </bookViews>
  <sheets>
    <sheet name="Sheet1" sheetId="1" r:id="rId1"/>
    <sheet name="RH Flow Data 0.5 degrees avgs" sheetId="2" r:id="rId2"/>
    <sheet name="MicroRT Data 0.3 degrees - avgs" sheetId="3" r:id="rId3"/>
    <sheet name="MicroRT Data 0.3 degre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4" l="1"/>
  <c r="H22" i="4"/>
  <c r="F21" i="2"/>
  <c r="C10" i="2"/>
  <c r="B10" i="2"/>
  <c r="H86" i="2"/>
  <c r="H81" i="2"/>
  <c r="H76" i="2"/>
  <c r="H73" i="2"/>
  <c r="H69" i="2"/>
  <c r="H61" i="2"/>
  <c r="H58" i="2"/>
  <c r="H55" i="2"/>
  <c r="H52" i="2"/>
  <c r="H49" i="2"/>
  <c r="J126" i="2"/>
  <c r="H128" i="2"/>
  <c r="J128" i="2" s="1"/>
  <c r="G128" i="2"/>
  <c r="I128" i="2" s="1"/>
  <c r="H127" i="2"/>
  <c r="J127" i="2" s="1"/>
  <c r="G127" i="2"/>
  <c r="I127" i="2" s="1"/>
  <c r="H126" i="2"/>
  <c r="G126" i="2"/>
  <c r="I126" i="2" s="1"/>
  <c r="H125" i="2"/>
  <c r="J125" i="2" s="1"/>
  <c r="G125" i="2"/>
  <c r="I125" i="2" s="1"/>
  <c r="H124" i="2"/>
  <c r="J124" i="2" s="1"/>
  <c r="G124" i="2"/>
  <c r="I124" i="2" s="1"/>
  <c r="H121" i="2"/>
  <c r="J121" i="2" s="1"/>
  <c r="G121" i="2"/>
  <c r="I121" i="2" s="1"/>
  <c r="H120" i="2"/>
  <c r="J120" i="2" s="1"/>
  <c r="G120" i="2"/>
  <c r="I120" i="2" s="1"/>
  <c r="H119" i="2"/>
  <c r="J119" i="2" s="1"/>
  <c r="G119" i="2"/>
  <c r="I119" i="2" s="1"/>
  <c r="H118" i="2"/>
  <c r="J118" i="2" s="1"/>
  <c r="G118" i="2"/>
  <c r="I118" i="2" s="1"/>
  <c r="H117" i="2"/>
  <c r="J117" i="2" s="1"/>
  <c r="G117" i="2"/>
  <c r="I117" i="2" s="1"/>
  <c r="H112" i="2"/>
  <c r="G112" i="2"/>
  <c r="H104" i="2"/>
  <c r="H96" i="2"/>
  <c r="E112" i="2"/>
  <c r="F111" i="2"/>
  <c r="H111" i="2" s="1"/>
  <c r="E111" i="2"/>
  <c r="G111" i="2" s="1"/>
  <c r="F110" i="2"/>
  <c r="H110" i="2" s="1"/>
  <c r="E110" i="2"/>
  <c r="G110" i="2" s="1"/>
  <c r="F109" i="2"/>
  <c r="H109" i="2" s="1"/>
  <c r="E109" i="2"/>
  <c r="G109" i="2" s="1"/>
  <c r="F108" i="2"/>
  <c r="H108" i="2" s="1"/>
  <c r="E108" i="2"/>
  <c r="G108" i="2" s="1"/>
  <c r="F107" i="2"/>
  <c r="H107" i="2" s="1"/>
  <c r="E107" i="2"/>
  <c r="G107" i="2" s="1"/>
  <c r="E104" i="2"/>
  <c r="G104" i="2" s="1"/>
  <c r="E96" i="2"/>
  <c r="G96" i="2" s="1"/>
  <c r="F103" i="2"/>
  <c r="H103" i="2" s="1"/>
  <c r="E103" i="2"/>
  <c r="G103" i="2" s="1"/>
  <c r="F102" i="2"/>
  <c r="H102" i="2" s="1"/>
  <c r="E102" i="2"/>
  <c r="G102" i="2" s="1"/>
  <c r="F101" i="2"/>
  <c r="H101" i="2" s="1"/>
  <c r="E101" i="2"/>
  <c r="G101" i="2" s="1"/>
  <c r="F100" i="2"/>
  <c r="H100" i="2" s="1"/>
  <c r="E100" i="2"/>
  <c r="G100" i="2" s="1"/>
  <c r="F99" i="2"/>
  <c r="H99" i="2" s="1"/>
  <c r="E99" i="2"/>
  <c r="G99" i="2" s="1"/>
  <c r="F95" i="2"/>
  <c r="H95" i="2" s="1"/>
  <c r="E95" i="2"/>
  <c r="G95" i="2" s="1"/>
  <c r="F94" i="2"/>
  <c r="H94" i="2" s="1"/>
  <c r="E94" i="2"/>
  <c r="G94" i="2" s="1"/>
  <c r="F93" i="2"/>
  <c r="H93" i="2" s="1"/>
  <c r="E93" i="2"/>
  <c r="G93" i="2" s="1"/>
  <c r="F92" i="2"/>
  <c r="H92" i="2" s="1"/>
  <c r="E92" i="2"/>
  <c r="G92" i="2" s="1"/>
  <c r="F91" i="2"/>
  <c r="H91" i="2" s="1"/>
  <c r="E91" i="2"/>
  <c r="G91" i="2" s="1"/>
  <c r="J164" i="3"/>
  <c r="J165" i="3"/>
  <c r="J166" i="3"/>
  <c r="J167" i="3"/>
  <c r="I165" i="3"/>
  <c r="I166" i="3"/>
  <c r="I167" i="3"/>
  <c r="I164" i="3"/>
  <c r="J157" i="3"/>
  <c r="J158" i="3"/>
  <c r="J159" i="3"/>
  <c r="J160" i="3"/>
  <c r="I158" i="3"/>
  <c r="I159" i="3"/>
  <c r="I160" i="3"/>
  <c r="I157" i="3"/>
  <c r="J148" i="3"/>
  <c r="J149" i="3"/>
  <c r="J150" i="3"/>
  <c r="J151" i="3"/>
  <c r="J152" i="3"/>
  <c r="I149" i="3"/>
  <c r="I150" i="3"/>
  <c r="I151" i="3"/>
  <c r="I152" i="3"/>
  <c r="I148" i="3"/>
  <c r="J141" i="3"/>
  <c r="J142" i="3"/>
  <c r="J143" i="3"/>
  <c r="J144" i="3"/>
  <c r="J145" i="3"/>
  <c r="I142" i="3"/>
  <c r="I143" i="3"/>
  <c r="I144" i="3"/>
  <c r="I145" i="3"/>
  <c r="I141" i="3"/>
  <c r="J130" i="3"/>
  <c r="J131" i="3"/>
  <c r="J132" i="3"/>
  <c r="J133" i="3"/>
  <c r="J134" i="3"/>
  <c r="I131" i="3"/>
  <c r="I132" i="3"/>
  <c r="I133" i="3"/>
  <c r="I134" i="3"/>
  <c r="I130" i="3"/>
  <c r="J123" i="3"/>
  <c r="J124" i="3"/>
  <c r="J125" i="3"/>
  <c r="J126" i="3"/>
  <c r="J127" i="3"/>
  <c r="I124" i="3"/>
  <c r="I125" i="3"/>
  <c r="I126" i="3"/>
  <c r="I127" i="3"/>
  <c r="I123" i="3"/>
  <c r="J117" i="3"/>
  <c r="J118" i="3"/>
  <c r="J119" i="3"/>
  <c r="J120" i="3"/>
  <c r="I117" i="3"/>
  <c r="I118" i="3"/>
  <c r="I119" i="3"/>
  <c r="I120" i="3"/>
  <c r="H167" i="3"/>
  <c r="G167" i="3"/>
  <c r="H166" i="3"/>
  <c r="G166" i="3"/>
  <c r="H165" i="3"/>
  <c r="G165" i="3"/>
  <c r="H164" i="3"/>
  <c r="G164" i="3"/>
  <c r="G158" i="3"/>
  <c r="H158" i="3"/>
  <c r="G159" i="3"/>
  <c r="H159" i="3"/>
  <c r="G160" i="3"/>
  <c r="H160" i="3"/>
  <c r="H157" i="3"/>
  <c r="G157" i="3"/>
  <c r="H134" i="3"/>
  <c r="G134" i="3"/>
  <c r="H133" i="3"/>
  <c r="G133" i="3"/>
  <c r="H132" i="3"/>
  <c r="G132" i="3"/>
  <c r="H131" i="3"/>
  <c r="G131" i="3"/>
  <c r="H130" i="3"/>
  <c r="G130" i="3"/>
  <c r="H127" i="3"/>
  <c r="G127" i="3"/>
  <c r="H126" i="3"/>
  <c r="G126" i="3"/>
  <c r="H125" i="3"/>
  <c r="G125" i="3"/>
  <c r="H124" i="3"/>
  <c r="G124" i="3"/>
  <c r="H123" i="3"/>
  <c r="G123" i="3"/>
  <c r="G117" i="3"/>
  <c r="H117" i="3"/>
  <c r="G118" i="3"/>
  <c r="H118" i="3"/>
  <c r="G119" i="3"/>
  <c r="H119" i="3"/>
  <c r="G120" i="3"/>
  <c r="H120" i="3"/>
  <c r="H116" i="3"/>
  <c r="J116" i="3" s="1"/>
  <c r="G116" i="3"/>
  <c r="I116" i="3" s="1"/>
  <c r="H152" i="3"/>
  <c r="G152" i="3"/>
  <c r="H151" i="3"/>
  <c r="G151" i="3"/>
  <c r="H150" i="3"/>
  <c r="G150" i="3"/>
  <c r="H149" i="3"/>
  <c r="G149" i="3"/>
  <c r="H148" i="3"/>
  <c r="G148" i="3"/>
  <c r="G142" i="3"/>
  <c r="H142" i="3"/>
  <c r="G143" i="3"/>
  <c r="H143" i="3"/>
  <c r="G144" i="3"/>
  <c r="H144" i="3"/>
  <c r="G145" i="3"/>
  <c r="H145" i="3"/>
  <c r="H141" i="3"/>
  <c r="G141" i="3"/>
  <c r="G111" i="3"/>
  <c r="F111" i="3"/>
  <c r="G108" i="3"/>
  <c r="F108" i="3"/>
  <c r="G105" i="3"/>
  <c r="F105" i="3"/>
  <c r="G102" i="3"/>
  <c r="F102" i="3"/>
  <c r="E105" i="3"/>
  <c r="E104" i="3"/>
  <c r="E103" i="3"/>
  <c r="I105" i="3" s="1"/>
  <c r="E111" i="3"/>
  <c r="E110" i="3"/>
  <c r="E109" i="3"/>
  <c r="E108" i="3"/>
  <c r="E107" i="3"/>
  <c r="E106" i="3"/>
  <c r="I108" i="3" s="1"/>
  <c r="E101" i="3"/>
  <c r="E102" i="3"/>
  <c r="E100" i="3"/>
  <c r="H102" i="3" s="1"/>
  <c r="G97" i="3"/>
  <c r="F97" i="3"/>
  <c r="G94" i="3"/>
  <c r="F94" i="3"/>
  <c r="G91" i="3"/>
  <c r="F91" i="3"/>
  <c r="G84" i="3"/>
  <c r="F84" i="3"/>
  <c r="G88" i="3"/>
  <c r="F88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82" i="3"/>
  <c r="G79" i="3"/>
  <c r="F79" i="3"/>
  <c r="G76" i="3"/>
  <c r="F76" i="3"/>
  <c r="G73" i="3"/>
  <c r="F73" i="3"/>
  <c r="G70" i="3"/>
  <c r="F70" i="3"/>
  <c r="G67" i="3"/>
  <c r="F67" i="3"/>
  <c r="E65" i="3"/>
  <c r="E66" i="3"/>
  <c r="E67" i="3"/>
  <c r="E68" i="3"/>
  <c r="E69" i="3"/>
  <c r="E70" i="3"/>
  <c r="E71" i="3"/>
  <c r="E72" i="3"/>
  <c r="E73" i="3"/>
  <c r="H73" i="3" s="1"/>
  <c r="E74" i="3"/>
  <c r="E75" i="3"/>
  <c r="E76" i="3"/>
  <c r="E77" i="3"/>
  <c r="E78" i="3"/>
  <c r="E79" i="3"/>
  <c r="E64" i="3"/>
  <c r="G35" i="3"/>
  <c r="H35" i="3"/>
  <c r="H34" i="3"/>
  <c r="G34" i="3"/>
  <c r="H54" i="3"/>
  <c r="G54" i="3"/>
  <c r="H57" i="3"/>
  <c r="G57" i="3"/>
  <c r="H56" i="3"/>
  <c r="G56" i="3"/>
  <c r="H55" i="3"/>
  <c r="G55" i="3"/>
  <c r="H45" i="3"/>
  <c r="G45" i="3"/>
  <c r="H49" i="3"/>
  <c r="G49" i="3"/>
  <c r="H48" i="3"/>
  <c r="G48" i="3"/>
  <c r="H47" i="3"/>
  <c r="G47" i="3"/>
  <c r="H46" i="3"/>
  <c r="G46" i="3"/>
  <c r="H38" i="3"/>
  <c r="G38" i="3"/>
  <c r="H37" i="3"/>
  <c r="G37" i="3"/>
  <c r="H36" i="3"/>
  <c r="G36" i="3"/>
  <c r="G3" i="3"/>
  <c r="G73" i="2"/>
  <c r="G69" i="2"/>
  <c r="G76" i="2"/>
  <c r="G81" i="2"/>
  <c r="G86" i="2"/>
  <c r="F73" i="2"/>
  <c r="F72" i="2"/>
  <c r="F71" i="2"/>
  <c r="F70" i="2"/>
  <c r="F69" i="2"/>
  <c r="F68" i="2"/>
  <c r="F67" i="2"/>
  <c r="F66" i="2"/>
  <c r="F76" i="2"/>
  <c r="F75" i="2"/>
  <c r="F74" i="2"/>
  <c r="F81" i="2"/>
  <c r="F80" i="2"/>
  <c r="F79" i="2"/>
  <c r="F78" i="2"/>
  <c r="F77" i="2"/>
  <c r="F86" i="2"/>
  <c r="F85" i="2"/>
  <c r="F84" i="2"/>
  <c r="F83" i="2"/>
  <c r="F82" i="2"/>
  <c r="H36" i="2"/>
  <c r="G36" i="2"/>
  <c r="H40" i="2"/>
  <c r="G40" i="2"/>
  <c r="H39" i="2"/>
  <c r="G39" i="2"/>
  <c r="H38" i="2"/>
  <c r="G38" i="2"/>
  <c r="H37" i="2"/>
  <c r="G37" i="2"/>
  <c r="F51" i="2"/>
  <c r="F52" i="2"/>
  <c r="F53" i="2"/>
  <c r="F54" i="2"/>
  <c r="F55" i="2"/>
  <c r="F56" i="2"/>
  <c r="F57" i="2"/>
  <c r="F58" i="2"/>
  <c r="F59" i="2"/>
  <c r="F60" i="2"/>
  <c r="F61" i="2"/>
  <c r="F47" i="2"/>
  <c r="F48" i="2"/>
  <c r="F49" i="2"/>
  <c r="F62" i="2"/>
  <c r="F50" i="2"/>
  <c r="J52" i="2" s="1"/>
  <c r="G49" i="2"/>
  <c r="G61" i="2"/>
  <c r="G58" i="2"/>
  <c r="G55" i="2"/>
  <c r="G52" i="2"/>
  <c r="F25" i="2"/>
  <c r="E25" i="2"/>
  <c r="F29" i="2"/>
  <c r="E29" i="2"/>
  <c r="F28" i="2"/>
  <c r="E28" i="2"/>
  <c r="F27" i="2"/>
  <c r="E27" i="2"/>
  <c r="F26" i="2"/>
  <c r="E26" i="2"/>
  <c r="L53" i="4"/>
  <c r="L52" i="4"/>
  <c r="L51" i="4"/>
  <c r="L46" i="4"/>
  <c r="L47" i="4"/>
  <c r="L48" i="4"/>
  <c r="L49" i="4"/>
  <c r="L50" i="4"/>
  <c r="L45" i="4"/>
  <c r="L44" i="4"/>
  <c r="L43" i="4"/>
  <c r="L42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2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4" i="4"/>
  <c r="H23" i="3"/>
  <c r="G23" i="3"/>
  <c r="H26" i="3"/>
  <c r="G26" i="3"/>
  <c r="H25" i="3"/>
  <c r="G25" i="3"/>
  <c r="H24" i="3"/>
  <c r="G24" i="3"/>
  <c r="H14" i="3"/>
  <c r="G14" i="3"/>
  <c r="H18" i="3"/>
  <c r="G18" i="3"/>
  <c r="H17" i="3"/>
  <c r="G17" i="3"/>
  <c r="H16" i="3"/>
  <c r="G16" i="3"/>
  <c r="H15" i="3"/>
  <c r="G15" i="3"/>
  <c r="H3" i="3"/>
  <c r="H7" i="3"/>
  <c r="G7" i="3"/>
  <c r="H6" i="3"/>
  <c r="G6" i="3"/>
  <c r="H5" i="3"/>
  <c r="G5" i="3"/>
  <c r="H4" i="3"/>
  <c r="G4" i="3"/>
  <c r="H16" i="2"/>
  <c r="H17" i="2"/>
  <c r="H18" i="2"/>
  <c r="H14" i="2"/>
  <c r="H15" i="2"/>
  <c r="F3" i="2"/>
  <c r="F7" i="2"/>
  <c r="F6" i="2"/>
  <c r="F5" i="2"/>
  <c r="F4" i="2"/>
  <c r="G16" i="2"/>
  <c r="G17" i="2"/>
  <c r="G18" i="2"/>
  <c r="G14" i="2"/>
  <c r="G15" i="2"/>
  <c r="E5" i="2"/>
  <c r="E6" i="2"/>
  <c r="E7" i="2"/>
  <c r="E3" i="2"/>
  <c r="E4" i="2"/>
  <c r="L10" i="1"/>
  <c r="M10" i="1" s="1"/>
  <c r="K10" i="1"/>
  <c r="L9" i="1"/>
  <c r="M9" i="1" s="1"/>
  <c r="K9" i="1"/>
  <c r="L8" i="1"/>
  <c r="M8" i="1" s="1"/>
  <c r="L7" i="1"/>
  <c r="M7" i="1" s="1"/>
  <c r="K8" i="1"/>
  <c r="K7" i="1"/>
  <c r="L5" i="1"/>
  <c r="M5" i="1" s="1"/>
  <c r="L4" i="1"/>
  <c r="M4" i="1" s="1"/>
  <c r="L3" i="1"/>
  <c r="M3" i="1" s="1"/>
  <c r="L2" i="1"/>
  <c r="M2" i="1" s="1"/>
  <c r="K2" i="1"/>
  <c r="K5" i="1"/>
  <c r="K4" i="1"/>
  <c r="K3" i="1"/>
  <c r="J61" i="2" l="1"/>
  <c r="J81" i="2"/>
  <c r="J69" i="2"/>
  <c r="J58" i="2"/>
  <c r="J86" i="2"/>
  <c r="J73" i="2"/>
  <c r="J49" i="2"/>
  <c r="J76" i="2"/>
  <c r="J55" i="2"/>
  <c r="I76" i="2"/>
  <c r="H79" i="3"/>
  <c r="I97" i="3"/>
  <c r="I70" i="3"/>
  <c r="I111" i="3"/>
  <c r="I67" i="3"/>
  <c r="H94" i="3"/>
  <c r="I91" i="3"/>
  <c r="I73" i="3"/>
  <c r="H67" i="3"/>
  <c r="I88" i="3"/>
  <c r="H84" i="3"/>
  <c r="I94" i="3"/>
  <c r="I79" i="3"/>
  <c r="H91" i="3"/>
  <c r="H70" i="3"/>
  <c r="H88" i="3"/>
  <c r="H76" i="3"/>
  <c r="H97" i="3"/>
  <c r="H111" i="3"/>
  <c r="H105" i="3"/>
  <c r="I102" i="3"/>
  <c r="I84" i="3"/>
  <c r="H108" i="3"/>
  <c r="I76" i="3"/>
  <c r="I86" i="2"/>
  <c r="I73" i="2"/>
  <c r="I58" i="2"/>
  <c r="I69" i="2"/>
  <c r="I81" i="2"/>
  <c r="I55" i="2"/>
  <c r="I61" i="2"/>
  <c r="I52" i="2"/>
  <c r="I49" i="2"/>
</calcChain>
</file>

<file path=xl/sharedStrings.xml><?xml version="1.0" encoding="utf-8"?>
<sst xmlns="http://schemas.openxmlformats.org/spreadsheetml/2006/main" count="277" uniqueCount="54">
  <si>
    <t>Time</t>
  </si>
  <si>
    <t>e3 mosaicity</t>
  </si>
  <si>
    <t>Crystal</t>
  </si>
  <si>
    <t>alact</t>
  </si>
  <si>
    <t>Stdev</t>
  </si>
  <si>
    <t>STERR</t>
  </si>
  <si>
    <t>lysozyme</t>
  </si>
  <si>
    <t>direct from well</t>
  </si>
  <si>
    <t>Equil Time</t>
  </si>
  <si>
    <t>alpha-lactalbumin</t>
  </si>
  <si>
    <t>mean</t>
  </si>
  <si>
    <t>sd</t>
  </si>
  <si>
    <t>lyszoyme</t>
  </si>
  <si>
    <t>a</t>
  </si>
  <si>
    <t>alpha-lactalbumin (92% RH for all but control - 98%)</t>
  </si>
  <si>
    <t>se</t>
  </si>
  <si>
    <t>thermolysin</t>
  </si>
  <si>
    <t xml:space="preserve"> </t>
  </si>
  <si>
    <t>e3 mosaicity - no cracks</t>
  </si>
  <si>
    <t>I/sigma</t>
  </si>
  <si>
    <t>Cracked</t>
  </si>
  <si>
    <t>Intact</t>
  </si>
  <si>
    <t>b</t>
  </si>
  <si>
    <t>c</t>
  </si>
  <si>
    <t>max</t>
  </si>
  <si>
    <t>mid</t>
  </si>
  <si>
    <t>min</t>
  </si>
  <si>
    <t>Crystal Size</t>
  </si>
  <si>
    <t>Volume</t>
  </si>
  <si>
    <t>Cracks Visible</t>
  </si>
  <si>
    <t>y</t>
  </si>
  <si>
    <t>n</t>
  </si>
  <si>
    <t>I/sigma @ 2.3</t>
  </si>
  <si>
    <t>&lt;Max Length&gt;</t>
  </si>
  <si>
    <t>SD(Max Length)</t>
  </si>
  <si>
    <t>Max Edge</t>
  </si>
  <si>
    <t>Mid Edge</t>
  </si>
  <si>
    <t>Min Edge</t>
  </si>
  <si>
    <t>Xta Vol</t>
  </si>
  <si>
    <t>&lt;Xtal Vol&gt;</t>
  </si>
  <si>
    <t>SD (Xtal Vol)</t>
  </si>
  <si>
    <t>I/sigma @ 1.5</t>
  </si>
  <si>
    <t>lysozyme (92% RH for all but control - 98%)</t>
  </si>
  <si>
    <t xml:space="preserve">alpha-lactalbumin </t>
  </si>
  <si>
    <t>&lt;a&gt;</t>
  </si>
  <si>
    <t>se(a)</t>
  </si>
  <si>
    <t>&lt;b&gt;</t>
  </si>
  <si>
    <t>se(b)</t>
  </si>
  <si>
    <t>&lt;c&gt;</t>
  </si>
  <si>
    <t>se©</t>
  </si>
  <si>
    <t>se(c)</t>
  </si>
  <si>
    <t>Normalized Cell Params</t>
  </si>
  <si>
    <t>Normalized</t>
  </si>
  <si>
    <t>Cracks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</si>
</sst>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e3 mosaicity - alpha</a:t>
            </a:r>
            <a:r>
              <a:rPr lang="en-US" baseline="0"/>
              <a:t> lactalbumin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Sheet1!$K$1</c:f>
              <c:strCache>
                <c:ptCount val="1"/>
                <c:pt idx="0">
                  <c:v>e3 mosaicity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Sheet1!$M$2:$M$5</c:f>
                <c:numCache>
                  <c:formatCode>General</c:formatCode>
                  <c:ptCount val="4"/>
                  <c:pt idx="0">
                    <c:v>7.999999999999996E-2</c:v>
                  </c:pt>
                  <c:pt idx="1">
                    <c:v>4.8390770469860123E-2</c:v>
                  </c:pt>
                  <c:pt idx="2">
                    <c:v>3.7749172176353735E-2</c:v>
                  </c:pt>
                  <c:pt idx="3">
                    <c:v>4.1508031351374014E-2</c:v>
                  </c:pt>
                </c:numCache>
              </c:numRef>
            </c:plus>
            <c:minus>
              <c:numRef>
                <c:f>Sheet1!$M$2:$M$5</c:f>
                <c:numCache>
                  <c:formatCode>General</c:formatCode>
                  <c:ptCount val="4"/>
                  <c:pt idx="0">
                    <c:v>7.999999999999996E-2</c:v>
                  </c:pt>
                  <c:pt idx="1">
                    <c:v>4.8390770469860123E-2</c:v>
                  </c:pt>
                  <c:pt idx="2">
                    <c:v>3.7749172176353735E-2</c:v>
                  </c:pt>
                  <c:pt idx="3">
                    <c:v>4.1508031351374014E-2</c:v>
                  </c:pt>
                </c:numCache>
              </c:numRef>
            </c:minus>
          </c:errBars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>
                <a:noFill/>
              </a:ln>
            </c:spPr>
          </c:errBars>
          <c:xVal>
            <c:numRef>
              <c:f>Sheet1!$B$2:$B$5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45</c:v>
                </c:pt>
              </c:numCache>
            </c:numRef>
          </c:xVal>
          <c:yVal>
            <c:numRef>
              <c:f>Sheet1!$K$2:$K$5</c:f>
              <c:numCache>
                <c:formatCode>General</c:formatCode>
                <c:ptCount val="4"/>
                <c:pt idx="0">
                  <c:v>1.38</c:v>
                </c:pt>
                <c:pt idx="1">
                  <c:v>0.80499999999999994</c:v>
                </c:pt>
                <c:pt idx="2">
                  <c:v>0.76500000000000001</c:v>
                </c:pt>
                <c:pt idx="3">
                  <c:v>0.70750000000000002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FD-5E42-BC86-24A6447F77EB}"/>
            </c:ext>
          </c:extLst>
        </c:ser>
        <c:ser>
          <c:idx val="0"/>
          <c:order val="1"/>
          <c:tx>
            <c:strRef>
              <c:f>Sheet1!$K$1</c:f>
              <c:strCache>
                <c:ptCount val="1"/>
                <c:pt idx="0">
                  <c:v>e3 mosaicity</c:v>
                </c:pt>
              </c:strCache>
            </c:strRef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Sheet1!$M$2:$M$5</c:f>
                <c:numCache>
                  <c:formatCode>General</c:formatCode>
                  <c:ptCount val="4"/>
                  <c:pt idx="0">
                    <c:v>7.999999999999996E-2</c:v>
                  </c:pt>
                  <c:pt idx="1">
                    <c:v>4.8390770469860123E-2</c:v>
                  </c:pt>
                  <c:pt idx="2">
                    <c:v>3.7749172176353735E-2</c:v>
                  </c:pt>
                  <c:pt idx="3">
                    <c:v>4.1508031351374014E-2</c:v>
                  </c:pt>
                </c:numCache>
              </c:numRef>
            </c:plus>
            <c:minus>
              <c:numRef>
                <c:f>Sheet1!$M$2:$M$5</c:f>
                <c:numCache>
                  <c:formatCode>General</c:formatCode>
                  <c:ptCount val="4"/>
                  <c:pt idx="0">
                    <c:v>7.999999999999996E-2</c:v>
                  </c:pt>
                  <c:pt idx="1">
                    <c:v>4.8390770469860123E-2</c:v>
                  </c:pt>
                  <c:pt idx="2">
                    <c:v>3.7749172176353735E-2</c:v>
                  </c:pt>
                  <c:pt idx="3">
                    <c:v>4.1508031351374014E-2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Sheet1!$B$7:$B$9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40</c:v>
                </c:pt>
              </c:numCache>
            </c:numRef>
          </c:xVal>
          <c:yVal>
            <c:numRef>
              <c:f>Sheet1!$K$7:$K$9</c:f>
              <c:numCache>
                <c:formatCode>General</c:formatCode>
                <c:ptCount val="3"/>
                <c:pt idx="0">
                  <c:v>0.79749999999999999</c:v>
                </c:pt>
                <c:pt idx="1">
                  <c:v>0.77</c:v>
                </c:pt>
                <c:pt idx="2">
                  <c:v>0.76999999999999991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FD-5E42-BC86-24A6447F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403488"/>
        <c:axId val="303863952"/>
      </c:scatterChart>
      <c:valAx>
        <c:axId val="200140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63952"/>
        <c:crosses val="autoZero"/>
        <c:crossBetween val="midCat"/>
      </c:valAx>
      <c:valAx>
        <c:axId val="3038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0348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Mosaicity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809116705139554E-2"/>
          <c:y val="0.14631163708086786"/>
          <c:w val="0.84466054141841773"/>
          <c:h val="0.77006600506297662"/>
        </c:manualLayout>
      </c:layout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'RH Flow Data 0.5 degrees avgs'!$A$3:$A$8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45</c:v>
                </c:pt>
                <c:pt idx="5">
                  <c:v>180</c:v>
                </c:pt>
              </c:numCache>
            </c:numRef>
          </c:xVal>
          <c:yVal>
            <c:numRef>
              <c:f>'RH Flow Data 0.5 degrees avgs'!$E$3:$E$8</c:f>
              <c:numCache>
                <c:formatCode>General</c:formatCode>
                <c:ptCount val="6"/>
                <c:pt idx="0">
                  <c:v>0.62</c:v>
                </c:pt>
                <c:pt idx="1">
                  <c:v>2.4433333333333334</c:v>
                </c:pt>
                <c:pt idx="2">
                  <c:v>1.1133333333333335</c:v>
                </c:pt>
                <c:pt idx="3">
                  <c:v>0.63</c:v>
                </c:pt>
                <c:pt idx="4">
                  <c:v>0.60333333333333339</c:v>
                </c:pt>
                <c:pt idx="5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2-1941-AF49-16957A0EA891}"/>
            </c:ext>
          </c:extLst>
        </c:ser>
        <c:ser>
          <c:idx val="0"/>
          <c:order val="1"/>
          <c:tx>
            <c:v>lysozyme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'RH Flow Data 0.5 degrees avgs'!$A$14:$A$18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'RH Flow Data 0.5 degrees avgs'!$G$14:$G$18</c:f>
              <c:numCache>
                <c:formatCode>General</c:formatCode>
                <c:ptCount val="5"/>
                <c:pt idx="0">
                  <c:v>0.63500000000000001</c:v>
                </c:pt>
                <c:pt idx="1">
                  <c:v>0.67249999999999999</c:v>
                </c:pt>
                <c:pt idx="2">
                  <c:v>0.65</c:v>
                </c:pt>
                <c:pt idx="3">
                  <c:v>0.66199999999999992</c:v>
                </c:pt>
                <c:pt idx="4">
                  <c:v>0.63800000000000012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2-1941-AF49-16957A0EA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3399804746307058"/>
          <c:y val="0.29866685303390333"/>
          <c:w val="0.25973674045461298"/>
          <c:h val="0.1367328044296920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I/sigma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041324621656334E-2"/>
          <c:y val="0.17331775700934579"/>
          <c:w val="0.86564453379497774"/>
          <c:h val="0.74164360880123625"/>
        </c:manualLayout>
      </c:layout>
      <c:scatterChart>
        <c:scatterStyle val="lineMarker"/>
        <c:varyColors val="0"/>
        <c:ser>
          <c:idx val="0"/>
          <c:order val="0"/>
          <c:tx>
            <c:v>Alpha Lactalbumin</c:v>
          </c:tx>
          <c:spPr>
            <a:ln>
              <a:solidFill>
                <a:srgbClr val="FFC000"/>
              </a:solidFill>
            </a:ln>
          </c:spPr>
          <c:marker>
            <c:symbol val="square"/>
            <c:size val="6"/>
            <c:spPr>
              <a:solidFill>
                <a:schemeClr val="accent2"/>
              </a:solidFill>
            </c:spPr>
          </c:marker>
          <c:xVal>
            <c:numRef>
              <c:f>'RH Flow Data 0.5 degrees avgs'!$A$25:$A$29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45</c:v>
                </c:pt>
              </c:numCache>
            </c:numRef>
          </c:xVal>
          <c:yVal>
            <c:numRef>
              <c:f>'RH Flow Data 0.5 degrees avgs'!$E$25:$E$29</c:f>
              <c:numCache>
                <c:formatCode>General</c:formatCode>
                <c:ptCount val="5"/>
                <c:pt idx="0">
                  <c:v>0.70000000000000007</c:v>
                </c:pt>
                <c:pt idx="1">
                  <c:v>0.18666666666666668</c:v>
                </c:pt>
                <c:pt idx="2">
                  <c:v>0.46666666666666662</c:v>
                </c:pt>
                <c:pt idx="3">
                  <c:v>1.0999999999999999</c:v>
                </c:pt>
                <c:pt idx="4">
                  <c:v>1.4666666666666666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DD-604F-BD25-31FAB8CAFF79}"/>
            </c:ext>
          </c:extLst>
        </c:ser>
        <c:ser>
          <c:idx val="1"/>
          <c:order val="1"/>
          <c:tx>
            <c:v>Lysozyme</c:v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</c:spPr>
          </c:marker>
          <c:xVal>
            <c:numRef>
              <c:f>'RH Flow Data 0.5 degrees avgs'!$A$36:$A$41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'RH Flow Data 0.5 degrees avgs'!$G$36:$G$41</c:f>
              <c:numCache>
                <c:formatCode>General</c:formatCode>
                <c:ptCount val="6"/>
                <c:pt idx="0">
                  <c:v>1.05</c:v>
                </c:pt>
                <c:pt idx="1">
                  <c:v>1.25</c:v>
                </c:pt>
                <c:pt idx="2">
                  <c:v>0.96666666666666667</c:v>
                </c:pt>
                <c:pt idx="3">
                  <c:v>0.94000000000000006</c:v>
                </c:pt>
                <c:pt idx="4">
                  <c:v>0.98000000000000009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DD-604F-BD25-31FAB8CA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561770295954383"/>
          <c:y val="0.64878959076303799"/>
          <c:w val="0.21828577278903966"/>
          <c:h val="0.1689991905217455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Xtal</a:t>
            </a:r>
            <a:r>
              <a:rPr lang="en-US" baseline="0"/>
              <a:t> Edge vs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278862675372403E-2"/>
          <c:y val="0.14183556405353728"/>
          <c:w val="0.83761986582796699"/>
          <c:h val="0.7656280393249123"/>
        </c:manualLayout>
      </c:layout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'RH Flow Data 0.5 degrees avgs'!$A$47:$A$61</c:f>
              <c:numCache>
                <c:formatCode>General</c:formatCode>
                <c:ptCount val="15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</c:numCache>
            </c:numRef>
          </c:xVal>
          <c:yVal>
            <c:numRef>
              <c:f>'RH Flow Data 0.5 degrees avgs'!$G$47:$G$61</c:f>
              <c:numCache>
                <c:formatCode>General</c:formatCode>
                <c:ptCount val="15"/>
                <c:pt idx="2">
                  <c:v>400</c:v>
                </c:pt>
                <c:pt idx="5">
                  <c:v>533.33333333333337</c:v>
                </c:pt>
                <c:pt idx="8">
                  <c:v>383.33333333333331</c:v>
                </c:pt>
                <c:pt idx="11">
                  <c:v>500</c:v>
                </c:pt>
                <c:pt idx="14">
                  <c:v>683.33333333333337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6-F540-B832-3A219BDC65C8}"/>
            </c:ext>
          </c:extLst>
        </c:ser>
        <c:ser>
          <c:idx val="0"/>
          <c:order val="1"/>
          <c:tx>
            <c:v>lysozyme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'RH Flow Data 0.5 degrees avgs'!$A$66:$A$86</c:f>
              <c:numCache>
                <c:formatCode>General</c:formatCode>
                <c:ptCount val="2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</c:numCache>
            </c:numRef>
          </c:xVal>
          <c:yVal>
            <c:numRef>
              <c:f>'RH Flow Data 0.5 degrees avgs'!$G$66:$G$86</c:f>
              <c:numCache>
                <c:formatCode>General</c:formatCode>
                <c:ptCount val="21"/>
                <c:pt idx="3">
                  <c:v>287.5</c:v>
                </c:pt>
                <c:pt idx="7">
                  <c:v>312.5</c:v>
                </c:pt>
                <c:pt idx="10">
                  <c:v>316.66666666666669</c:v>
                </c:pt>
                <c:pt idx="15">
                  <c:v>300</c:v>
                </c:pt>
                <c:pt idx="20">
                  <c:v>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46-F540-B832-3A219BDC6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045536"/>
        <c:axId val="335047248"/>
      </c:scatterChart>
      <c:valAx>
        <c:axId val="3350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47248"/>
        <c:crosses val="autoZero"/>
        <c:crossBetween val="midCat"/>
      </c:valAx>
      <c:valAx>
        <c:axId val="3350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45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789493343692572"/>
          <c:y val="0.71017991297932881"/>
          <c:w val="0.28550545402008237"/>
          <c:h val="0.22059105500295095"/>
        </c:manualLayout>
      </c:layout>
      <c:overlay val="0"/>
    </c:legend>
    <c:plotVisOnly val="1"/>
    <c:dispBlanksAs val="span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Crystal Volume vs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278862675372403E-2"/>
          <c:y val="0.14183556405353728"/>
          <c:w val="0.83761986582796699"/>
          <c:h val="0.7656280393249123"/>
        </c:manualLayout>
      </c:layout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'RH Flow Data 0.5 degrees avgs'!$A$47:$A$61</c:f>
              <c:numCache>
                <c:formatCode>General</c:formatCode>
                <c:ptCount val="15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</c:numCache>
            </c:numRef>
          </c:xVal>
          <c:yVal>
            <c:numRef>
              <c:f>'RH Flow Data 0.5 degrees avgs'!$I$47:$I$61</c:f>
              <c:numCache>
                <c:formatCode>General</c:formatCode>
                <c:ptCount val="15"/>
                <c:pt idx="2">
                  <c:v>16000000</c:v>
                </c:pt>
                <c:pt idx="5">
                  <c:v>32666666.666666668</c:v>
                </c:pt>
                <c:pt idx="8">
                  <c:v>16916666.666666668</c:v>
                </c:pt>
                <c:pt idx="11">
                  <c:v>21750000</c:v>
                </c:pt>
                <c:pt idx="14">
                  <c:v>55208333.333333336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0-D34F-96CC-BA022BBA055A}"/>
            </c:ext>
          </c:extLst>
        </c:ser>
        <c:ser>
          <c:idx val="0"/>
          <c:order val="1"/>
          <c:tx>
            <c:v>lysozyme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'RH Flow Data 0.5 degrees avgs'!$A$66:$A$86</c:f>
              <c:numCache>
                <c:formatCode>General</c:formatCode>
                <c:ptCount val="2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</c:numCache>
            </c:numRef>
          </c:xVal>
          <c:yVal>
            <c:numRef>
              <c:f>'RH Flow Data 0.5 degrees avgs'!$I$66:$I$86</c:f>
              <c:numCache>
                <c:formatCode>General</c:formatCode>
                <c:ptCount val="21"/>
                <c:pt idx="3">
                  <c:v>12468750</c:v>
                </c:pt>
                <c:pt idx="7">
                  <c:v>16250000</c:v>
                </c:pt>
                <c:pt idx="10">
                  <c:v>20166666.666666668</c:v>
                </c:pt>
                <c:pt idx="15">
                  <c:v>11850000</c:v>
                </c:pt>
                <c:pt idx="20">
                  <c:v>15850000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0-D34F-96CC-BA022BBA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045536"/>
        <c:axId val="335047248"/>
      </c:scatterChart>
      <c:valAx>
        <c:axId val="33504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47248"/>
        <c:crosses val="autoZero"/>
        <c:crossBetween val="midCat"/>
      </c:valAx>
      <c:valAx>
        <c:axId val="3350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45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789493343692572"/>
          <c:y val="0.71017991297932881"/>
          <c:w val="0.29525706345530339"/>
          <c:h val="0.23071378028033301"/>
        </c:manualLayout>
      </c:layout>
      <c:overlay val="0"/>
    </c:legend>
    <c:plotVisOnly val="1"/>
    <c:dispBlanksAs val="span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lactalbumin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'RH Flow Data 0.5 degrees avgs'!$A$91:$A$95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45</c:v>
                </c:pt>
              </c:numCache>
            </c:numRef>
          </c:xVal>
          <c:yVal>
            <c:numRef>
              <c:f>'RH Flow Data 0.5 degrees avgs'!$G$91:$G$95</c:f>
              <c:numCache>
                <c:formatCode>General</c:formatCode>
                <c:ptCount val="5"/>
                <c:pt idx="0">
                  <c:v>1</c:v>
                </c:pt>
                <c:pt idx="1">
                  <c:v>1.0032497678737233</c:v>
                </c:pt>
                <c:pt idx="2">
                  <c:v>1.0060352831940576</c:v>
                </c:pt>
                <c:pt idx="3">
                  <c:v>1.0060352831940576</c:v>
                </c:pt>
                <c:pt idx="4">
                  <c:v>1.0069637883008355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C-034B-8073-0C631073267E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'RH Flow Data 0.5 degrees avgs'!$A$99:$A$103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45</c:v>
                </c:pt>
              </c:numCache>
            </c:numRef>
          </c:xVal>
          <c:yVal>
            <c:numRef>
              <c:f>'RH Flow Data 0.5 degrees avgs'!$G$99:$G$103</c:f>
              <c:numCache>
                <c:formatCode>General</c:formatCode>
                <c:ptCount val="5"/>
                <c:pt idx="0">
                  <c:v>1.0000000318877562</c:v>
                </c:pt>
                <c:pt idx="1">
                  <c:v>1.0019132972548883</c:v>
                </c:pt>
                <c:pt idx="2">
                  <c:v>1.0044643177443979</c:v>
                </c:pt>
                <c:pt idx="3">
                  <c:v>1.0041454401832091</c:v>
                </c:pt>
                <c:pt idx="4">
                  <c:v>1.0051020728667752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C-034B-8073-0C631073267E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'RH Flow Data 0.5 degrees avgs'!$A$107:$A$111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45</c:v>
                </c:pt>
              </c:numCache>
            </c:numRef>
          </c:xVal>
          <c:yVal>
            <c:numRef>
              <c:f>'RH Flow Data 0.5 degrees avgs'!$G$107:$G$111</c:f>
              <c:numCache>
                <c:formatCode>General</c:formatCode>
                <c:ptCount val="5"/>
                <c:pt idx="0">
                  <c:v>1.0000000056850484</c:v>
                </c:pt>
                <c:pt idx="1">
                  <c:v>1.0039795395337097</c:v>
                </c:pt>
                <c:pt idx="2">
                  <c:v>1.0059693064580404</c:v>
                </c:pt>
                <c:pt idx="3">
                  <c:v>1.006822063711325</c:v>
                </c:pt>
                <c:pt idx="4">
                  <c:v>1.0076748209646096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C-034B-8073-0C631073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033711"/>
        <c:axId val="1250559311"/>
      </c:scatterChart>
      <c:valAx>
        <c:axId val="12500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59311"/>
        <c:crosses val="autoZero"/>
        <c:crossBetween val="midCat"/>
      </c:valAx>
      <c:valAx>
        <c:axId val="1250559311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3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lysozyme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a/b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'RH Flow Data 0.5 degrees avgs'!$A$117:$A$122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'RH Flow Data 0.5 degrees avgs'!$I$117:$I$122</c:f>
              <c:numCache>
                <c:formatCode>General</c:formatCode>
                <c:ptCount val="6"/>
                <c:pt idx="0">
                  <c:v>1</c:v>
                </c:pt>
                <c:pt idx="1">
                  <c:v>1.0003157562361857</c:v>
                </c:pt>
                <c:pt idx="2">
                  <c:v>0.99905273129144301</c:v>
                </c:pt>
                <c:pt idx="3">
                  <c:v>0.99905273129144301</c:v>
                </c:pt>
                <c:pt idx="4">
                  <c:v>0.99955794126934017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4-4346-A95A-DA7D7F4F1C75}"/>
            </c:ext>
          </c:extLst>
        </c:ser>
        <c:ser>
          <c:idx val="2"/>
          <c:order val="1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'RH Flow Data 0.5 degrees avgs'!$A$124:$A$129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'RH Flow Data 0.5 degrees avgs'!$I$124:$I$129</c:f>
              <c:numCache>
                <c:formatCode>General</c:formatCode>
                <c:ptCount val="6"/>
                <c:pt idx="0">
                  <c:v>1</c:v>
                </c:pt>
                <c:pt idx="1">
                  <c:v>0.99934210526315792</c:v>
                </c:pt>
                <c:pt idx="2">
                  <c:v>1.0026315789473685</c:v>
                </c:pt>
                <c:pt idx="3">
                  <c:v>1.0015789473684209</c:v>
                </c:pt>
                <c:pt idx="4">
                  <c:v>1.0021052631578946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A4-4346-A95A-DA7D7F4F1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033711"/>
        <c:axId val="1250559311"/>
      </c:scatterChart>
      <c:valAx>
        <c:axId val="125003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59311"/>
        <c:crosses val="autoZero"/>
        <c:crossBetween val="midCat"/>
      </c:valAx>
      <c:valAx>
        <c:axId val="1250559311"/>
        <c:scaling>
          <c:orientation val="minMax"/>
          <c:max val="1.01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3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Mosaicity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alact</c:v>
          </c:tx>
          <c:xVal>
            <c:numRef>
              <c:f>'MicroRT Data 0.3 degrees - avgs'!$A$3:$A$7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avgs'!$G$3:$G$8</c:f>
              <c:numCache>
                <c:formatCode>0.000</c:formatCode>
                <c:ptCount val="6"/>
                <c:pt idx="0">
                  <c:v>0.56666666666666665</c:v>
                </c:pt>
                <c:pt idx="1">
                  <c:v>3.08</c:v>
                </c:pt>
                <c:pt idx="2">
                  <c:v>0.80333333333333334</c:v>
                </c:pt>
                <c:pt idx="3">
                  <c:v>0.63666666666666671</c:v>
                </c:pt>
                <c:pt idx="4">
                  <c:v>0.52</c:v>
                </c:pt>
                <c:pt idx="5">
                  <c:v>0.59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7-2F4A-A2DC-C346A1EFF474}"/>
            </c:ext>
          </c:extLst>
        </c:ser>
        <c:ser>
          <c:idx val="0"/>
          <c:order val="1"/>
          <c:tx>
            <c:v>lysozyme</c:v>
          </c:tx>
          <c:spPr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avgs'!$A$14:$A$18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avgs'!$G$14:$G$18</c:f>
              <c:numCache>
                <c:formatCode>0.000</c:formatCode>
                <c:ptCount val="5"/>
                <c:pt idx="0">
                  <c:v>0.50666666666666671</c:v>
                </c:pt>
                <c:pt idx="1">
                  <c:v>0.5033333333333333</c:v>
                </c:pt>
                <c:pt idx="2">
                  <c:v>0.51</c:v>
                </c:pt>
                <c:pt idx="3">
                  <c:v>0.5</c:v>
                </c:pt>
                <c:pt idx="4">
                  <c:v>0.49333333333333335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7-2F4A-A2DC-C346A1EFF474}"/>
            </c:ext>
          </c:extLst>
        </c:ser>
        <c:ser>
          <c:idx val="2"/>
          <c:order val="2"/>
          <c:tx>
            <c:v>thermolysin</c:v>
          </c:tx>
          <c:xVal>
            <c:numRef>
              <c:f>'MicroRT Data 0.3 degrees - avgs'!$A$23:$A$27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avgs'!$G$23:$G$27</c:f>
              <c:numCache>
                <c:formatCode>0.000</c:formatCode>
                <c:ptCount val="5"/>
                <c:pt idx="0">
                  <c:v>0.45666666666666672</c:v>
                </c:pt>
                <c:pt idx="1">
                  <c:v>0.5033333333333333</c:v>
                </c:pt>
                <c:pt idx="2">
                  <c:v>0.45333333333333337</c:v>
                </c:pt>
                <c:pt idx="3">
                  <c:v>0.50749999999999995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77-2F4A-A2DC-C346A1EFF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5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I/sigma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'MicroRT Data 0.3 degrees - avgs'!$A$34:$A$39</c:f>
              <c:numCache>
                <c:formatCode>General</c:formatCode>
                <c:ptCount val="6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  <c:pt idx="5">
                  <c:v>180</c:v>
                </c:pt>
              </c:numCache>
            </c:numRef>
          </c:xVal>
          <c:yVal>
            <c:numRef>
              <c:f>'MicroRT Data 0.3 degrees - avgs'!$G$34:$G$39</c:f>
              <c:numCache>
                <c:formatCode>0.000</c:formatCode>
                <c:ptCount val="6"/>
                <c:pt idx="0">
                  <c:v>0.66666666666666663</c:v>
                </c:pt>
                <c:pt idx="1">
                  <c:v>0.10000000000000002</c:v>
                </c:pt>
                <c:pt idx="2">
                  <c:v>0.53333333333333333</c:v>
                </c:pt>
                <c:pt idx="3">
                  <c:v>0.43333333333333335</c:v>
                </c:pt>
                <c:pt idx="4">
                  <c:v>1.3333333333333333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F-814D-98D4-6B37629320FA}"/>
            </c:ext>
          </c:extLst>
        </c:ser>
        <c:ser>
          <c:idx val="0"/>
          <c:order val="1"/>
          <c:tx>
            <c:v>lysozyme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avgs'!$A$45:$A$49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avgs'!$G$45:$G$49</c:f>
              <c:numCache>
                <c:formatCode>0.000</c:formatCode>
                <c:ptCount val="5"/>
                <c:pt idx="0">
                  <c:v>6.5666666666666664</c:v>
                </c:pt>
                <c:pt idx="1">
                  <c:v>7.3999999999999995</c:v>
                </c:pt>
                <c:pt idx="2">
                  <c:v>5.8666666666666671</c:v>
                </c:pt>
                <c:pt idx="3">
                  <c:v>7.4333333333333336</c:v>
                </c:pt>
                <c:pt idx="4">
                  <c:v>6.7333333333333343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F-814D-98D4-6B37629320FA}"/>
            </c:ext>
          </c:extLst>
        </c:ser>
        <c:ser>
          <c:idx val="2"/>
          <c:order val="2"/>
          <c:tx>
            <c:v>thermolysin</c:v>
          </c:tx>
          <c:xVal>
            <c:numRef>
              <c:f>'MicroRT Data 0.3 degrees - avgs'!$A$54:$A$58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avgs'!$G$54:$G$58</c:f>
              <c:numCache>
                <c:formatCode>0.000</c:formatCode>
                <c:ptCount val="5"/>
                <c:pt idx="0">
                  <c:v>0.8666666666666667</c:v>
                </c:pt>
                <c:pt idx="1">
                  <c:v>0.23333333333333331</c:v>
                </c:pt>
                <c:pt idx="2">
                  <c:v>0.96666666666666667</c:v>
                </c:pt>
                <c:pt idx="3">
                  <c:v>0.69999999999999984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F-814D-98D4-6B376293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5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Long Edge</a:t>
            </a:r>
            <a:r>
              <a:rPr lang="en-US"/>
              <a:t>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'MicroRT Data 0.3 degrees - avgs'!$A$64:$A$79</c:f>
              <c:numCache>
                <c:formatCode>General</c:formatCode>
                <c:ptCount val="1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</c:numCache>
            </c:numRef>
          </c:xVal>
          <c:yVal>
            <c:numRef>
              <c:f>'MicroRT Data 0.3 degrees - avgs'!$F$64:$F$79</c:f>
              <c:numCache>
                <c:formatCode>General</c:formatCode>
                <c:ptCount val="16"/>
                <c:pt idx="3">
                  <c:v>700</c:v>
                </c:pt>
                <c:pt idx="6">
                  <c:v>366.66666666666669</c:v>
                </c:pt>
                <c:pt idx="9">
                  <c:v>366.66666666666669</c:v>
                </c:pt>
                <c:pt idx="12">
                  <c:v>466.66666666666669</c:v>
                </c:pt>
                <c:pt idx="15">
                  <c:v>533.33333333333337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E-C34D-884D-D120C74F0909}"/>
            </c:ext>
          </c:extLst>
        </c:ser>
        <c:ser>
          <c:idx val="0"/>
          <c:order val="1"/>
          <c:tx>
            <c:v>lysozyme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avgs'!$A$82:$A$97</c:f>
              <c:numCache>
                <c:formatCode>General</c:formatCode>
                <c:ptCount val="1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</c:numCache>
            </c:numRef>
          </c:xVal>
          <c:yVal>
            <c:numRef>
              <c:f>'MicroRT Data 0.3 degrees - avgs'!$F$82:$F$97</c:f>
              <c:numCache>
                <c:formatCode>General</c:formatCode>
                <c:ptCount val="16"/>
                <c:pt idx="2">
                  <c:v>233.33333333333334</c:v>
                </c:pt>
                <c:pt idx="6">
                  <c:v>350</c:v>
                </c:pt>
                <c:pt idx="9">
                  <c:v>266.66666666666669</c:v>
                </c:pt>
                <c:pt idx="12">
                  <c:v>300</c:v>
                </c:pt>
                <c:pt idx="15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CE-C34D-884D-D120C74F0909}"/>
            </c:ext>
          </c:extLst>
        </c:ser>
        <c:ser>
          <c:idx val="2"/>
          <c:order val="2"/>
          <c:tx>
            <c:v>thermolysin</c:v>
          </c:tx>
          <c:xVal>
            <c:numRef>
              <c:f>'MicroRT Data 0.3 degrees - avgs'!$A$100:$A$111</c:f>
              <c:numCache>
                <c:formatCode>General</c:formatCode>
                <c:ptCount val="12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xVal>
          <c:yVal>
            <c:numRef>
              <c:f>'MicroRT Data 0.3 degrees - avgs'!$F$100:$F$111</c:f>
              <c:numCache>
                <c:formatCode>General</c:formatCode>
                <c:ptCount val="12"/>
                <c:pt idx="2">
                  <c:v>300</c:v>
                </c:pt>
                <c:pt idx="5">
                  <c:v>20</c:v>
                </c:pt>
                <c:pt idx="8">
                  <c:v>500</c:v>
                </c:pt>
                <c:pt idx="11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CE-C34D-884D-D120C74F0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5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Volume</a:t>
            </a:r>
            <a:r>
              <a:rPr lang="en-US"/>
              <a:t> vs Equilibration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alpha-lactalbumin</c:v>
          </c:tx>
          <c:xVal>
            <c:numRef>
              <c:f>'MicroRT Data 0.3 degrees - avgs'!$A$64:$A$79</c:f>
              <c:numCache>
                <c:formatCode>General</c:formatCode>
                <c:ptCount val="1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</c:numCache>
            </c:numRef>
          </c:xVal>
          <c:yVal>
            <c:numRef>
              <c:f>'MicroRT Data 0.3 degrees - avgs'!$H$64:$H$79</c:f>
              <c:numCache>
                <c:formatCode>0.000</c:formatCode>
                <c:ptCount val="16"/>
                <c:pt idx="3">
                  <c:v>42750000</c:v>
                </c:pt>
                <c:pt idx="6">
                  <c:v>18000000</c:v>
                </c:pt>
                <c:pt idx="9">
                  <c:v>14333333.333333334</c:v>
                </c:pt>
                <c:pt idx="12">
                  <c:v>17333333.333333332</c:v>
                </c:pt>
                <c:pt idx="15">
                  <c:v>41333333.333333336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5-F649-908E-7D7D8E24BB59}"/>
            </c:ext>
          </c:extLst>
        </c:ser>
        <c:ser>
          <c:idx val="0"/>
          <c:order val="1"/>
          <c:tx>
            <c:v>lysozyme</c:v>
          </c:tx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avgs'!$A$82:$A$97</c:f>
              <c:numCache>
                <c:formatCode>General</c:formatCode>
                <c:ptCount val="1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</c:numCache>
            </c:numRef>
          </c:xVal>
          <c:yVal>
            <c:numRef>
              <c:f>'MicroRT Data 0.3 degrees - avgs'!$H$82:$H$97</c:f>
              <c:numCache>
                <c:formatCode>0.000</c:formatCode>
                <c:ptCount val="16"/>
                <c:pt idx="2">
                  <c:v>5666666.666666667</c:v>
                </c:pt>
                <c:pt idx="6">
                  <c:v>18500000</c:v>
                </c:pt>
                <c:pt idx="9">
                  <c:v>8833333.333333334</c:v>
                </c:pt>
                <c:pt idx="12">
                  <c:v>11958333.333333334</c:v>
                </c:pt>
                <c:pt idx="15">
                  <c:v>19791666.666666668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F5-F649-908E-7D7D8E24BB59}"/>
            </c:ext>
          </c:extLst>
        </c:ser>
        <c:ser>
          <c:idx val="2"/>
          <c:order val="2"/>
          <c:tx>
            <c:v>thermolysin</c:v>
          </c:tx>
          <c:xVal>
            <c:numRef>
              <c:f>'MicroRT Data 0.3 degrees - avgs'!$A$100:$A$111</c:f>
              <c:numCache>
                <c:formatCode>General</c:formatCode>
                <c:ptCount val="12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xVal>
          <c:yVal>
            <c:numRef>
              <c:f>'MicroRT Data 0.3 degrees - avgs'!$H$100:$H$111</c:f>
              <c:numCache>
                <c:formatCode>0.000</c:formatCode>
                <c:ptCount val="12"/>
                <c:pt idx="2">
                  <c:v>1389450</c:v>
                </c:pt>
                <c:pt idx="5">
                  <c:v>118273.33333333333</c:v>
                </c:pt>
                <c:pt idx="8">
                  <c:v>1923250</c:v>
                </c:pt>
                <c:pt idx="11">
                  <c:v>1695600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F5-F649-908E-7D7D8E24B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06784"/>
        <c:axId val="1836008496"/>
      </c:scatterChart>
      <c:valAx>
        <c:axId val="1836006784"/>
        <c:scaling>
          <c:orientation val="minMax"/>
          <c:max val="45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8496"/>
        <c:crosses val="autoZero"/>
        <c:crossBetween val="midCat"/>
      </c:valAx>
      <c:valAx>
        <c:axId val="18360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06784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lactalbumin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avgs'!$A$116:$A$120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avgs'!$I$116:$I$120</c:f>
              <c:numCache>
                <c:formatCode>General</c:formatCode>
                <c:ptCount val="5"/>
                <c:pt idx="0">
                  <c:v>0.99999999999999978</c:v>
                </c:pt>
                <c:pt idx="1">
                  <c:v>1.0034770514603617</c:v>
                </c:pt>
                <c:pt idx="2">
                  <c:v>1.0037088548910522</c:v>
                </c:pt>
                <c:pt idx="3">
                  <c:v>1.0013908205841444</c:v>
                </c:pt>
                <c:pt idx="4">
                  <c:v>1.0032452480296707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7-6645-AC10-22A2A2980A0C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'MicroRT Data 0.3 degrees - avgs'!$A$123:$A$127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avgs'!$I$123:$I$127</c:f>
              <c:numCache>
                <c:formatCode>General</c:formatCode>
                <c:ptCount val="5"/>
                <c:pt idx="0">
                  <c:v>1</c:v>
                </c:pt>
                <c:pt idx="1">
                  <c:v>0.99617956064947466</c:v>
                </c:pt>
                <c:pt idx="2">
                  <c:v>0.99840815027061458</c:v>
                </c:pt>
                <c:pt idx="3">
                  <c:v>0.99777141037886008</c:v>
                </c:pt>
                <c:pt idx="4">
                  <c:v>0.99840815027061458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E7-6645-AC10-22A2A2980A0C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'MicroRT Data 0.3 degrees - avgs'!$A$130:$A$134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avgs'!$I$130:$I$134</c:f>
              <c:numCache>
                <c:formatCode>General</c:formatCode>
                <c:ptCount val="5"/>
                <c:pt idx="0">
                  <c:v>1.0002844141069398</c:v>
                </c:pt>
                <c:pt idx="1">
                  <c:v>1.0068259385665528</c:v>
                </c:pt>
                <c:pt idx="2">
                  <c:v>1.005972696245734</c:v>
                </c:pt>
                <c:pt idx="3">
                  <c:v>1.0051194539249146</c:v>
                </c:pt>
                <c:pt idx="4">
                  <c:v>1.005972696245734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E7-6645-AC10-22A2A2980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781375"/>
        <c:axId val="1024876559"/>
      </c:scatterChart>
      <c:valAx>
        <c:axId val="102478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76559"/>
        <c:crosses val="autoZero"/>
        <c:crossBetween val="midCat"/>
      </c:valAx>
      <c:valAx>
        <c:axId val="1024876559"/>
        <c:scaling>
          <c:orientation val="minMax"/>
          <c:max val="1.01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8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lysozyme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avgs'!$A$141:$A$145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avgs'!$I$141:$I$145</c:f>
              <c:numCache>
                <c:formatCode>General</c:formatCode>
                <c:ptCount val="5"/>
                <c:pt idx="0">
                  <c:v>1</c:v>
                </c:pt>
                <c:pt idx="1">
                  <c:v>1.0004208754208754</c:v>
                </c:pt>
                <c:pt idx="2">
                  <c:v>0.99957912457912457</c:v>
                </c:pt>
                <c:pt idx="3">
                  <c:v>1</c:v>
                </c:pt>
                <c:pt idx="4">
                  <c:v>0.99957912457912457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1-7849-A213-C00AD0529BDE}"/>
            </c:ext>
          </c:extLst>
        </c:ser>
        <c:ser>
          <c:idx val="2"/>
          <c:order val="1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'MicroRT Data 0.3 degrees - avgs'!$A$148:$A$152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avgs'!$I$148:$I$152</c:f>
              <c:numCache>
                <c:formatCode>General</c:formatCode>
                <c:ptCount val="5"/>
                <c:pt idx="0">
                  <c:v>1</c:v>
                </c:pt>
                <c:pt idx="1">
                  <c:v>0.99912280701754386</c:v>
                </c:pt>
                <c:pt idx="2">
                  <c:v>0.99912280701754386</c:v>
                </c:pt>
                <c:pt idx="3">
                  <c:v>1</c:v>
                </c:pt>
                <c:pt idx="4">
                  <c:v>0.99824561403508782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1-7849-A213-C00AD0529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781375"/>
        <c:axId val="1024876559"/>
      </c:scatterChart>
      <c:valAx>
        <c:axId val="102478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76559"/>
        <c:crosses val="autoZero"/>
        <c:crossBetween val="midCat"/>
      </c:valAx>
      <c:valAx>
        <c:axId val="1024876559"/>
        <c:scaling>
          <c:orientation val="minMax"/>
          <c:max val="1.01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8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thermolysin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 - avgs'!$A$157:$A$161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avgs'!$I$157:$I$161</c:f>
              <c:numCache>
                <c:formatCode>General</c:formatCode>
                <c:ptCount val="5"/>
                <c:pt idx="0">
                  <c:v>1.0000000000000002</c:v>
                </c:pt>
                <c:pt idx="1">
                  <c:v>1.0017806267806268</c:v>
                </c:pt>
                <c:pt idx="2">
                  <c:v>0.99786324786324809</c:v>
                </c:pt>
                <c:pt idx="3">
                  <c:v>1.0017806267806268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D-1843-A2C6-B70C57D25E50}"/>
            </c:ext>
          </c:extLst>
        </c:ser>
        <c:ser>
          <c:idx val="2"/>
          <c:order val="1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'MicroRT Data 0.3 degrees - avgs'!$A$164:$A$168</c:f>
              <c:numCache>
                <c:formatCode>General</c:formatCode>
                <c:ptCount val="5"/>
                <c:pt idx="0">
                  <c:v>-5</c:v>
                </c:pt>
                <c:pt idx="1">
                  <c:v>0</c:v>
                </c:pt>
                <c:pt idx="2">
                  <c:v>5</c:v>
                </c:pt>
                <c:pt idx="3">
                  <c:v>15</c:v>
                </c:pt>
                <c:pt idx="4">
                  <c:v>40</c:v>
                </c:pt>
              </c:numCache>
            </c:numRef>
          </c:xVal>
          <c:yVal>
            <c:numRef>
              <c:f>'MicroRT Data 0.3 degrees - avgs'!$I$164:$I$168</c:f>
              <c:numCache>
                <c:formatCode>General</c:formatCode>
                <c:ptCount val="5"/>
                <c:pt idx="0">
                  <c:v>0.99997460704400576</c:v>
                </c:pt>
                <c:pt idx="1">
                  <c:v>0.99667352276478505</c:v>
                </c:pt>
                <c:pt idx="2">
                  <c:v>0.99641959320484497</c:v>
                </c:pt>
                <c:pt idx="3">
                  <c:v>0.99946674792412593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D-1843-A2C6-B70C57D25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781375"/>
        <c:axId val="1024876559"/>
      </c:scatterChart>
      <c:valAx>
        <c:axId val="102478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76559"/>
        <c:crosses val="autoZero"/>
        <c:crossBetween val="midCat"/>
      </c:valAx>
      <c:valAx>
        <c:axId val="1024876559"/>
        <c:scaling>
          <c:orientation val="minMax"/>
          <c:max val="1.01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78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Mosaicity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974227563320708E-2"/>
          <c:y val="0.17855577861407876"/>
          <c:w val="0.89118544233592767"/>
          <c:h val="0.71071941933351335"/>
        </c:manualLayout>
      </c:layout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'MicroRT Data 0.3 degrees'!$A$4:$A$16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</c:numCache>
            </c:numRef>
          </c:xVal>
          <c:yVal>
            <c:numRef>
              <c:f>'MicroRT Data 0.3 degrees'!$C$4:$C$16</c:f>
              <c:numCache>
                <c:formatCode>General</c:formatCode>
                <c:ptCount val="13"/>
                <c:pt idx="0">
                  <c:v>4.38</c:v>
                </c:pt>
                <c:pt idx="1">
                  <c:v>2.5</c:v>
                </c:pt>
                <c:pt idx="2">
                  <c:v>2.36</c:v>
                </c:pt>
                <c:pt idx="3">
                  <c:v>0.69</c:v>
                </c:pt>
                <c:pt idx="5">
                  <c:v>1.18</c:v>
                </c:pt>
                <c:pt idx="6">
                  <c:v>0.79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E0-664A-A808-FCA69A1C2B2B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degrees'!$D$4:$D$19</c:f>
              <c:numCache>
                <c:formatCode>General</c:formatCode>
                <c:ptCount val="16"/>
                <c:pt idx="4">
                  <c:v>0.54</c:v>
                </c:pt>
                <c:pt idx="7">
                  <c:v>0.62</c:v>
                </c:pt>
                <c:pt idx="8">
                  <c:v>0.5</c:v>
                </c:pt>
                <c:pt idx="9">
                  <c:v>0.5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0.6</c:v>
                </c:pt>
                <c:pt idx="14">
                  <c:v>0.55000000000000004</c:v>
                </c:pt>
                <c:pt idx="15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E0-664A-A808-FCA69A1C2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0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logBase val="10"/>
          <c:orientation val="minMax"/>
          <c:max val="5"/>
          <c:min val="0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Mosaicity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degrees'!$C$24:$C$38</c:f>
              <c:numCache>
                <c:formatCode>General</c:formatCode>
                <c:ptCount val="15"/>
                <c:pt idx="0">
                  <c:v>0.51</c:v>
                </c:pt>
                <c:pt idx="1">
                  <c:v>0.51</c:v>
                </c:pt>
                <c:pt idx="2">
                  <c:v>0.49</c:v>
                </c:pt>
                <c:pt idx="3">
                  <c:v>0.5</c:v>
                </c:pt>
                <c:pt idx="4">
                  <c:v>0.54</c:v>
                </c:pt>
                <c:pt idx="5">
                  <c:v>0.49</c:v>
                </c:pt>
                <c:pt idx="6">
                  <c:v>0.5</c:v>
                </c:pt>
                <c:pt idx="7">
                  <c:v>0.51</c:v>
                </c:pt>
                <c:pt idx="8">
                  <c:v>0.49</c:v>
                </c:pt>
                <c:pt idx="9">
                  <c:v>0.5</c:v>
                </c:pt>
                <c:pt idx="10">
                  <c:v>0.48</c:v>
                </c:pt>
                <c:pt idx="11">
                  <c:v>0.5</c:v>
                </c:pt>
                <c:pt idx="12">
                  <c:v>0.51</c:v>
                </c:pt>
                <c:pt idx="13">
                  <c:v>0.5</c:v>
                </c:pt>
                <c:pt idx="14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8-6444-BF0F-11EFA102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I/Sigma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degrees'!$E$24:$E$38</c:f>
              <c:numCache>
                <c:formatCode>General</c:formatCode>
                <c:ptCount val="15"/>
                <c:pt idx="0">
                  <c:v>10.1</c:v>
                </c:pt>
                <c:pt idx="1">
                  <c:v>5</c:v>
                </c:pt>
                <c:pt idx="2">
                  <c:v>7.6</c:v>
                </c:pt>
                <c:pt idx="3">
                  <c:v>6</c:v>
                </c:pt>
                <c:pt idx="4">
                  <c:v>6.3</c:v>
                </c:pt>
                <c:pt idx="5">
                  <c:v>5.3</c:v>
                </c:pt>
                <c:pt idx="6">
                  <c:v>7.3</c:v>
                </c:pt>
                <c:pt idx="7">
                  <c:v>6.7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2.8</c:v>
                </c:pt>
                <c:pt idx="11">
                  <c:v>9.1</c:v>
                </c:pt>
                <c:pt idx="12">
                  <c:v>5.8</c:v>
                </c:pt>
                <c:pt idx="13">
                  <c:v>6.3</c:v>
                </c:pt>
                <c:pt idx="14">
                  <c:v>10.1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1-B144-95A0-AAF21B949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Mosaicity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degrees'!$A$42:$A$53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</c:numCache>
            </c:numRef>
          </c:xVal>
          <c:yVal>
            <c:numRef>
              <c:f>'MicroRT Data 0.3 degrees'!$C$42:$C$53</c:f>
              <c:numCache>
                <c:formatCode>General</c:formatCode>
                <c:ptCount val="12"/>
                <c:pt idx="0">
                  <c:v>0.5</c:v>
                </c:pt>
                <c:pt idx="1">
                  <c:v>0.48</c:v>
                </c:pt>
                <c:pt idx="2">
                  <c:v>0.45</c:v>
                </c:pt>
                <c:pt idx="3">
                  <c:v>0.45</c:v>
                </c:pt>
                <c:pt idx="4">
                  <c:v>0.46</c:v>
                </c:pt>
                <c:pt idx="5">
                  <c:v>0.45</c:v>
                </c:pt>
                <c:pt idx="6">
                  <c:v>0.52</c:v>
                </c:pt>
                <c:pt idx="7">
                  <c:v>0.44</c:v>
                </c:pt>
                <c:pt idx="8">
                  <c:v>0.44</c:v>
                </c:pt>
                <c:pt idx="9">
                  <c:v>0.45</c:v>
                </c:pt>
                <c:pt idx="10">
                  <c:v>0.45</c:v>
                </c:pt>
                <c:pt idx="11">
                  <c:v>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1-2745-84CE-58C5DC02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I/sigma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degrees'!$A$42:$A$53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</c:numCache>
            </c:numRef>
          </c:xVal>
          <c:yVal>
            <c:numRef>
              <c:f>'MicroRT Data 0.3 degrees'!$E$42:$E$53</c:f>
              <c:numCache>
                <c:formatCode>General</c:formatCode>
                <c:ptCount val="12"/>
                <c:pt idx="0">
                  <c:v>0.3</c:v>
                </c:pt>
                <c:pt idx="1">
                  <c:v>0.2</c:v>
                </c:pt>
                <c:pt idx="2">
                  <c:v>0.2</c:v>
                </c:pt>
                <c:pt idx="3">
                  <c:v>0.9</c:v>
                </c:pt>
                <c:pt idx="4">
                  <c:v>1.1000000000000001</c:v>
                </c:pt>
                <c:pt idx="5">
                  <c:v>0.9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0.8</c:v>
                </c:pt>
                <c:pt idx="10">
                  <c:v>1.1000000000000001</c:v>
                </c:pt>
                <c:pt idx="1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22-114F-83B6-CFCDB3E2E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degrees'!$F$4:$F$19</c:f>
              <c:numCache>
                <c:formatCode>General</c:formatCode>
                <c:ptCount val="16"/>
                <c:pt idx="0">
                  <c:v>72.099999999999994</c:v>
                </c:pt>
                <c:pt idx="1">
                  <c:v>72.2</c:v>
                </c:pt>
                <c:pt idx="3">
                  <c:v>72.3</c:v>
                </c:pt>
                <c:pt idx="4">
                  <c:v>72.099999999999994</c:v>
                </c:pt>
                <c:pt idx="5">
                  <c:v>72.099999999999994</c:v>
                </c:pt>
                <c:pt idx="6">
                  <c:v>72.099999999999994</c:v>
                </c:pt>
                <c:pt idx="7">
                  <c:v>71.8</c:v>
                </c:pt>
                <c:pt idx="8">
                  <c:v>72.099999999999994</c:v>
                </c:pt>
                <c:pt idx="9">
                  <c:v>72.099999999999994</c:v>
                </c:pt>
                <c:pt idx="10">
                  <c:v>72.2</c:v>
                </c:pt>
                <c:pt idx="11">
                  <c:v>72.099999999999994</c:v>
                </c:pt>
                <c:pt idx="12">
                  <c:v>72.2</c:v>
                </c:pt>
                <c:pt idx="13">
                  <c:v>71.3</c:v>
                </c:pt>
                <c:pt idx="14">
                  <c:v>72.400000000000006</c:v>
                </c:pt>
                <c:pt idx="15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E-B148-B103-A2CA4372F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degrees'!$G$4:$G$19</c:f>
              <c:numCache>
                <c:formatCode>General</c:formatCode>
                <c:ptCount val="16"/>
                <c:pt idx="0">
                  <c:v>103.8</c:v>
                </c:pt>
                <c:pt idx="1">
                  <c:v>104.8</c:v>
                </c:pt>
                <c:pt idx="3">
                  <c:v>104.6</c:v>
                </c:pt>
                <c:pt idx="4">
                  <c:v>104.5</c:v>
                </c:pt>
                <c:pt idx="5">
                  <c:v>104.5</c:v>
                </c:pt>
                <c:pt idx="6">
                  <c:v>104.7</c:v>
                </c:pt>
                <c:pt idx="7">
                  <c:v>104.2</c:v>
                </c:pt>
                <c:pt idx="8">
                  <c:v>104.5</c:v>
                </c:pt>
                <c:pt idx="9">
                  <c:v>104.6</c:v>
                </c:pt>
                <c:pt idx="10">
                  <c:v>104.4</c:v>
                </c:pt>
                <c:pt idx="11">
                  <c:v>104.6</c:v>
                </c:pt>
                <c:pt idx="12">
                  <c:v>104.5</c:v>
                </c:pt>
                <c:pt idx="13">
                  <c:v>103.7</c:v>
                </c:pt>
                <c:pt idx="14">
                  <c:v>104.5</c:v>
                </c:pt>
                <c:pt idx="15">
                  <c:v>104.8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7-A54C-B4DB-5C5CB3007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degrees'!$H$4:$H$19</c:f>
              <c:numCache>
                <c:formatCode>General</c:formatCode>
                <c:ptCount val="16"/>
                <c:pt idx="0">
                  <c:v>117.8</c:v>
                </c:pt>
                <c:pt idx="1">
                  <c:v>118.2</c:v>
                </c:pt>
                <c:pt idx="3">
                  <c:v>118</c:v>
                </c:pt>
                <c:pt idx="4">
                  <c:v>117.8</c:v>
                </c:pt>
                <c:pt idx="5">
                  <c:v>117.9</c:v>
                </c:pt>
                <c:pt idx="6">
                  <c:v>117.6</c:v>
                </c:pt>
                <c:pt idx="7">
                  <c:v>117.6</c:v>
                </c:pt>
                <c:pt idx="8">
                  <c:v>117.9</c:v>
                </c:pt>
                <c:pt idx="9">
                  <c:v>117.9</c:v>
                </c:pt>
                <c:pt idx="10">
                  <c:v>117.9</c:v>
                </c:pt>
                <c:pt idx="11">
                  <c:v>117.9</c:v>
                </c:pt>
                <c:pt idx="12">
                  <c:v>118</c:v>
                </c:pt>
                <c:pt idx="13">
                  <c:v>116.4</c:v>
                </c:pt>
                <c:pt idx="14">
                  <c:v>117.3</c:v>
                </c:pt>
                <c:pt idx="15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E-654D-BF08-467F3547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a/b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degrees'!$F$24:$F$38</c:f>
              <c:numCache>
                <c:formatCode>General</c:formatCode>
                <c:ptCount val="15"/>
                <c:pt idx="0">
                  <c:v>79.2</c:v>
                </c:pt>
                <c:pt idx="1">
                  <c:v>79.2</c:v>
                </c:pt>
                <c:pt idx="2">
                  <c:v>79.2</c:v>
                </c:pt>
                <c:pt idx="3">
                  <c:v>79.2</c:v>
                </c:pt>
                <c:pt idx="4">
                  <c:v>79.099999999999994</c:v>
                </c:pt>
                <c:pt idx="5">
                  <c:v>79.3</c:v>
                </c:pt>
                <c:pt idx="6">
                  <c:v>79.2</c:v>
                </c:pt>
                <c:pt idx="7">
                  <c:v>79.2</c:v>
                </c:pt>
                <c:pt idx="8">
                  <c:v>79.2</c:v>
                </c:pt>
                <c:pt idx="9">
                  <c:v>79.2</c:v>
                </c:pt>
                <c:pt idx="10">
                  <c:v>79.099999999999994</c:v>
                </c:pt>
                <c:pt idx="11">
                  <c:v>79.2</c:v>
                </c:pt>
                <c:pt idx="12">
                  <c:v>79.2</c:v>
                </c:pt>
                <c:pt idx="13">
                  <c:v>79.2</c:v>
                </c:pt>
                <c:pt idx="14">
                  <c:v>79.2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C-3E44-AD06-C541BC987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degrees'!$G$24:$G$38</c:f>
              <c:numCache>
                <c:formatCode>General</c:formatCode>
                <c:ptCount val="15"/>
                <c:pt idx="0">
                  <c:v>38</c:v>
                </c:pt>
                <c:pt idx="1">
                  <c:v>37.9</c:v>
                </c:pt>
                <c:pt idx="2">
                  <c:v>38</c:v>
                </c:pt>
                <c:pt idx="3">
                  <c:v>38</c:v>
                </c:pt>
                <c:pt idx="4">
                  <c:v>37.9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37.9</c:v>
                </c:pt>
                <c:pt idx="10">
                  <c:v>38</c:v>
                </c:pt>
                <c:pt idx="11">
                  <c:v>37.9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9-A046-9699-E726357C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a/b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degrees'!$A$42:$A$53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</c:numCache>
            </c:numRef>
          </c:xVal>
          <c:yVal>
            <c:numRef>
              <c:f>'MicroRT Data 0.3 degrees'!$F$42:$F$53</c:f>
              <c:numCache>
                <c:formatCode>General</c:formatCode>
                <c:ptCount val="12"/>
                <c:pt idx="0">
                  <c:v>93.7</c:v>
                </c:pt>
                <c:pt idx="1">
                  <c:v>93.9</c:v>
                </c:pt>
                <c:pt idx="2">
                  <c:v>93.7</c:v>
                </c:pt>
                <c:pt idx="3">
                  <c:v>93.4</c:v>
                </c:pt>
                <c:pt idx="4">
                  <c:v>93.4</c:v>
                </c:pt>
                <c:pt idx="5">
                  <c:v>93.4</c:v>
                </c:pt>
                <c:pt idx="6">
                  <c:v>93.7</c:v>
                </c:pt>
                <c:pt idx="7">
                  <c:v>93.8</c:v>
                </c:pt>
                <c:pt idx="8">
                  <c:v>93.8</c:v>
                </c:pt>
                <c:pt idx="9">
                  <c:v>93.7</c:v>
                </c:pt>
                <c:pt idx="10">
                  <c:v>93.9</c:v>
                </c:pt>
                <c:pt idx="11">
                  <c:v>93.7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1-1D4A-92A0-9B43AC39F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degrees'!$A$42:$A$53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</c:numCache>
            </c:numRef>
          </c:xVal>
          <c:yVal>
            <c:numRef>
              <c:f>'MicroRT Data 0.3 degrees'!$G$42:$G$53</c:f>
              <c:numCache>
                <c:formatCode>General</c:formatCode>
                <c:ptCount val="12"/>
                <c:pt idx="0">
                  <c:v>131</c:v>
                </c:pt>
                <c:pt idx="1">
                  <c:v>130.9</c:v>
                </c:pt>
                <c:pt idx="2">
                  <c:v>130.6</c:v>
                </c:pt>
                <c:pt idx="3">
                  <c:v>130.80000000000001</c:v>
                </c:pt>
                <c:pt idx="4">
                  <c:v>130.80000000000001</c:v>
                </c:pt>
                <c:pt idx="5">
                  <c:v>130.80000000000001</c:v>
                </c:pt>
                <c:pt idx="6">
                  <c:v>131</c:v>
                </c:pt>
                <c:pt idx="7">
                  <c:v>131.30000000000001</c:v>
                </c:pt>
                <c:pt idx="8">
                  <c:v>131.30000000000001</c:v>
                </c:pt>
                <c:pt idx="9">
                  <c:v>131.4</c:v>
                </c:pt>
                <c:pt idx="10">
                  <c:v>131.9</c:v>
                </c:pt>
                <c:pt idx="11">
                  <c:v>131.5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D7-C94A-A5BB-55A04C97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Vol</a:t>
            </a:r>
            <a:r>
              <a:rPr lang="en-US"/>
              <a:t>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degrees'!$L$4:$L$19</c:f>
              <c:numCache>
                <c:formatCode>General</c:formatCode>
                <c:ptCount val="16"/>
                <c:pt idx="0">
                  <c:v>24000000</c:v>
                </c:pt>
                <c:pt idx="1">
                  <c:v>24000000</c:v>
                </c:pt>
                <c:pt idx="2">
                  <c:v>0</c:v>
                </c:pt>
                <c:pt idx="3">
                  <c:v>27000000</c:v>
                </c:pt>
                <c:pt idx="4">
                  <c:v>8000000</c:v>
                </c:pt>
                <c:pt idx="5">
                  <c:v>8000000</c:v>
                </c:pt>
                <c:pt idx="6">
                  <c:v>18000000</c:v>
                </c:pt>
                <c:pt idx="7">
                  <c:v>10000000</c:v>
                </c:pt>
                <c:pt idx="8">
                  <c:v>24000000</c:v>
                </c:pt>
                <c:pt idx="9">
                  <c:v>24000000</c:v>
                </c:pt>
                <c:pt idx="10">
                  <c:v>30000000</c:v>
                </c:pt>
                <c:pt idx="11">
                  <c:v>70000000</c:v>
                </c:pt>
                <c:pt idx="12">
                  <c:v>80000000</c:v>
                </c:pt>
                <c:pt idx="13">
                  <c:v>52500000</c:v>
                </c:pt>
                <c:pt idx="14">
                  <c:v>48000000</c:v>
                </c:pt>
                <c:pt idx="15">
                  <c:v>18000000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2-AD44-B3EF-A5FF1BB1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Max Length</a:t>
            </a:r>
            <a:r>
              <a:rPr lang="en-US"/>
              <a:t>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degrees'!$I$4:$I$19</c:f>
              <c:numCache>
                <c:formatCode>General</c:formatCode>
                <c:ptCount val="16"/>
                <c:pt idx="0">
                  <c:v>400</c:v>
                </c:pt>
                <c:pt idx="1">
                  <c:v>400</c:v>
                </c:pt>
                <c:pt idx="3">
                  <c:v>300</c:v>
                </c:pt>
                <c:pt idx="4">
                  <c:v>400</c:v>
                </c:pt>
                <c:pt idx="5">
                  <c:v>400</c:v>
                </c:pt>
                <c:pt idx="6">
                  <c:v>600</c:v>
                </c:pt>
                <c:pt idx="7">
                  <c:v>400</c:v>
                </c:pt>
                <c:pt idx="8">
                  <c:v>400</c:v>
                </c:pt>
                <c:pt idx="9">
                  <c:v>400</c:v>
                </c:pt>
                <c:pt idx="10">
                  <c:v>500</c:v>
                </c:pt>
                <c:pt idx="11">
                  <c:v>700</c:v>
                </c:pt>
                <c:pt idx="12">
                  <c:v>800</c:v>
                </c:pt>
                <c:pt idx="13">
                  <c:v>700</c:v>
                </c:pt>
                <c:pt idx="14">
                  <c:v>800</c:v>
                </c:pt>
                <c:pt idx="15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71-E542-BED0-528FB83EA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vs Equilibration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degrees'!$A$4:$A$19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180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</c:numCache>
            </c:numRef>
          </c:xVal>
          <c:yVal>
            <c:numRef>
              <c:f>'MicroRT Data 0.3 degrees'!$E$4:$E$19</c:f>
              <c:numCache>
                <c:formatCode>General</c:formatCode>
                <c:ptCount val="1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0.4</c:v>
                </c:pt>
                <c:pt idx="4">
                  <c:v>0.7</c:v>
                </c:pt>
                <c:pt idx="5">
                  <c:v>0.5</c:v>
                </c:pt>
                <c:pt idx="6">
                  <c:v>0.5</c:v>
                </c:pt>
                <c:pt idx="7">
                  <c:v>0.4</c:v>
                </c:pt>
                <c:pt idx="8">
                  <c:v>0.4</c:v>
                </c:pt>
                <c:pt idx="9">
                  <c:v>1.5</c:v>
                </c:pt>
                <c:pt idx="10">
                  <c:v>1</c:v>
                </c:pt>
                <c:pt idx="11">
                  <c:v>1.5</c:v>
                </c:pt>
                <c:pt idx="13">
                  <c:v>0.6</c:v>
                </c:pt>
                <c:pt idx="14">
                  <c:v>0.6</c:v>
                </c:pt>
                <c:pt idx="15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F-0045-9461-A4EA9C16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165312"/>
        <c:axId val="333142176"/>
      </c:scatterChart>
      <c:valAx>
        <c:axId val="333165312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42176"/>
        <c:crosses val="autoZero"/>
        <c:crossBetween val="midCat"/>
      </c:valAx>
      <c:valAx>
        <c:axId val="3331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65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vol</a:t>
            </a:r>
            <a:r>
              <a:rPr lang="en-US"/>
              <a:t>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degrees'!$L$24:$L$38</c:f>
              <c:numCache>
                <c:formatCode>General</c:formatCode>
                <c:ptCount val="15"/>
                <c:pt idx="0">
                  <c:v>9000000</c:v>
                </c:pt>
                <c:pt idx="1">
                  <c:v>9000000</c:v>
                </c:pt>
                <c:pt idx="2">
                  <c:v>24000000</c:v>
                </c:pt>
                <c:pt idx="3">
                  <c:v>4000000</c:v>
                </c:pt>
                <c:pt idx="4">
                  <c:v>9000000</c:v>
                </c:pt>
                <c:pt idx="5">
                  <c:v>13500000</c:v>
                </c:pt>
                <c:pt idx="6">
                  <c:v>18375000</c:v>
                </c:pt>
                <c:pt idx="7">
                  <c:v>6250000</c:v>
                </c:pt>
                <c:pt idx="8">
                  <c:v>11250000</c:v>
                </c:pt>
                <c:pt idx="9">
                  <c:v>18375000</c:v>
                </c:pt>
                <c:pt idx="10">
                  <c:v>9000000</c:v>
                </c:pt>
                <c:pt idx="11">
                  <c:v>32000000</c:v>
                </c:pt>
                <c:pt idx="12">
                  <c:v>9000000</c:v>
                </c:pt>
                <c:pt idx="13">
                  <c:v>4000000</c:v>
                </c:pt>
                <c:pt idx="14">
                  <c:v>9000000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8-F943-9CA8-CB170DA4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Max Length</a:t>
            </a:r>
            <a:r>
              <a:rPr lang="en-US"/>
              <a:t>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degrees'!$A$24:$A$38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</c:numCache>
            </c:numRef>
          </c:xVal>
          <c:yVal>
            <c:numRef>
              <c:f>'MicroRT Data 0.3 degrees'!$I$24:$I$38</c:f>
              <c:numCache>
                <c:formatCode>General</c:formatCode>
                <c:ptCount val="15"/>
                <c:pt idx="0">
                  <c:v>300</c:v>
                </c:pt>
                <c:pt idx="1">
                  <c:v>300</c:v>
                </c:pt>
                <c:pt idx="2">
                  <c:v>400</c:v>
                </c:pt>
                <c:pt idx="3">
                  <c:v>200</c:v>
                </c:pt>
                <c:pt idx="4">
                  <c:v>300</c:v>
                </c:pt>
                <c:pt idx="5">
                  <c:v>300</c:v>
                </c:pt>
                <c:pt idx="6">
                  <c:v>350</c:v>
                </c:pt>
                <c:pt idx="7">
                  <c:v>250</c:v>
                </c:pt>
                <c:pt idx="8">
                  <c:v>300</c:v>
                </c:pt>
                <c:pt idx="9">
                  <c:v>350</c:v>
                </c:pt>
                <c:pt idx="10">
                  <c:v>300</c:v>
                </c:pt>
                <c:pt idx="11">
                  <c:v>400</c:v>
                </c:pt>
                <c:pt idx="12">
                  <c:v>300</c:v>
                </c:pt>
                <c:pt idx="13">
                  <c:v>200</c:v>
                </c:pt>
                <c:pt idx="14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0-E34A-9DAC-558160180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Xtal</a:t>
            </a:r>
            <a:r>
              <a:rPr lang="en-US" baseline="0"/>
              <a:t> Vol</a:t>
            </a:r>
            <a:r>
              <a:rPr lang="en-US"/>
              <a:t> vs</a:t>
            </a:r>
            <a:r>
              <a:rPr lang="en-US" baseline="0"/>
              <a:t> Equilibration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'MicroRT Data 0.3 degrees'!$A$42:$A$53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</c:numCache>
            </c:numRef>
          </c:xVal>
          <c:yVal>
            <c:numRef>
              <c:f>'MicroRT Data 0.3 degrees'!$L$42:$L$53</c:f>
              <c:numCache>
                <c:formatCode>General</c:formatCode>
                <c:ptCount val="12"/>
                <c:pt idx="0">
                  <c:v>100480</c:v>
                </c:pt>
                <c:pt idx="1">
                  <c:v>127170</c:v>
                </c:pt>
                <c:pt idx="2">
                  <c:v>127170</c:v>
                </c:pt>
                <c:pt idx="3">
                  <c:v>1923250</c:v>
                </c:pt>
                <c:pt idx="4">
                  <c:v>1923250</c:v>
                </c:pt>
                <c:pt idx="5">
                  <c:v>1923250</c:v>
                </c:pt>
                <c:pt idx="6">
                  <c:v>1538600</c:v>
                </c:pt>
                <c:pt idx="7">
                  <c:v>1538600</c:v>
                </c:pt>
                <c:pt idx="8">
                  <c:v>1538600</c:v>
                </c:pt>
                <c:pt idx="9">
                  <c:v>1507200</c:v>
                </c:pt>
                <c:pt idx="10">
                  <c:v>1507200</c:v>
                </c:pt>
                <c:pt idx="11">
                  <c:v>1153950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A-454F-B5E1-E9F417958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425744"/>
        <c:axId val="335427456"/>
      </c:scatterChart>
      <c:valAx>
        <c:axId val="33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7456"/>
        <c:crosses val="autoZero"/>
        <c:crossBetween val="midCat"/>
      </c:valAx>
      <c:valAx>
        <c:axId val="335427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260350</xdr:colOff>
      <xdr:row>13</xdr:row>
      <xdr:rowOff>25400</xdr:rowOff>
    </xdr:from>
    <xdr:to>
      <xdr:col>15</xdr:col>
      <xdr:colOff>38100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3BA11-EB08-F56A-CD07-E25801359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273050</xdr:colOff>
      <xdr:row>3</xdr:row>
      <xdr:rowOff>31750</xdr:rowOff>
    </xdr:from>
    <xdr:to>
      <xdr:col>15</xdr:col>
      <xdr:colOff>368300</xdr:colOff>
      <xdr:row>19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C990D-F780-4387-51AD-D35613950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241300</xdr:colOff>
      <xdr:row>20</xdr:row>
      <xdr:rowOff>114300</xdr:rowOff>
    </xdr:from>
    <xdr:to>
      <xdr:col>15</xdr:col>
      <xdr:colOff>444500</xdr:colOff>
      <xdr:row>36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A97E9C-77AB-2B49-8F63-1D16E7800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819150</xdr:colOff>
      <xdr:row>45</xdr:row>
      <xdr:rowOff>19050</xdr:rowOff>
    </xdr:from>
    <xdr:to>
      <xdr:col>14</xdr:col>
      <xdr:colOff>152400</xdr:colOff>
      <xdr:row>62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6866A0-4D1A-8C01-B493-D024779A6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76200</xdr:colOff>
      <xdr:row>44</xdr:row>
      <xdr:rowOff>127000</xdr:rowOff>
    </xdr:from>
    <xdr:to>
      <xdr:col>18</xdr:col>
      <xdr:colOff>381000</xdr:colOff>
      <xdr:row>61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09B4B1-5C54-9040-9715-AD85A8C9B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76200</xdr:colOff>
      <xdr:row>95</xdr:row>
      <xdr:rowOff>184150</xdr:rowOff>
    </xdr:from>
    <xdr:to>
      <xdr:col>14</xdr:col>
      <xdr:colOff>520700</xdr:colOff>
      <xdr:row>110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667E0F-CF14-A42E-85DD-F2B7FE0AC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114300</xdr:colOff>
      <xdr:row>116</xdr:row>
      <xdr:rowOff>0</xdr:rowOff>
    </xdr:from>
    <xdr:to>
      <xdr:col>16</xdr:col>
      <xdr:colOff>558800</xdr:colOff>
      <xdr:row>130</xdr:row>
      <xdr:rowOff>146050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5237B1-06A8-2242-8E1B-FA0603A1C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213659</xdr:colOff>
      <xdr:row>0</xdr:row>
      <xdr:rowOff>74706</xdr:rowOff>
    </xdr:from>
    <xdr:to>
      <xdr:col>15</xdr:col>
      <xdr:colOff>641724</xdr:colOff>
      <xdr:row>26</xdr:row>
      <xdr:rowOff>36606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027F6-C779-2948-997E-BE560D71C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774700</xdr:colOff>
      <xdr:row>28</xdr:row>
      <xdr:rowOff>25400</xdr:rowOff>
    </xdr:from>
    <xdr:to>
      <xdr:col>16</xdr:col>
      <xdr:colOff>381000</xdr:colOff>
      <xdr:row>52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473127-73FB-5A4C-BE13-30C1BC35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734609</xdr:colOff>
      <xdr:row>61</xdr:row>
      <xdr:rowOff>37354</xdr:rowOff>
    </xdr:from>
    <xdr:to>
      <xdr:col>17</xdr:col>
      <xdr:colOff>340908</xdr:colOff>
      <xdr:row>86</xdr:row>
      <xdr:rowOff>3239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1E7C0-6883-3F46-82A0-78F979D4C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473138</xdr:colOff>
      <xdr:row>60</xdr:row>
      <xdr:rowOff>124510</xdr:rowOff>
    </xdr:from>
    <xdr:to>
      <xdr:col>25</xdr:col>
      <xdr:colOff>79437</xdr:colOff>
      <xdr:row>85</xdr:row>
      <xdr:rowOff>90395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5C6D0D-655C-BB46-96F5-5F8D3C78F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652431</xdr:colOff>
      <xdr:row>117</xdr:row>
      <xdr:rowOff>4234</xdr:rowOff>
    </xdr:from>
    <xdr:to>
      <xdr:col>16</xdr:col>
      <xdr:colOff>293843</xdr:colOff>
      <xdr:row>130</xdr:row>
      <xdr:rowOff>157630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E5B575-5A72-F780-AE38-AECFA3644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747060</xdr:colOff>
      <xdr:row>136</xdr:row>
      <xdr:rowOff>186765</xdr:rowOff>
    </xdr:from>
    <xdr:to>
      <xdr:col>16</xdr:col>
      <xdr:colOff>388472</xdr:colOff>
      <xdr:row>150</xdr:row>
      <xdr:rowOff>140945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DE0FD7B-F8EA-3C47-A88B-E422604BC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622548</xdr:colOff>
      <xdr:row>153</xdr:row>
      <xdr:rowOff>186765</xdr:rowOff>
    </xdr:from>
    <xdr:to>
      <xdr:col>16</xdr:col>
      <xdr:colOff>263960</xdr:colOff>
      <xdr:row>167</xdr:row>
      <xdr:rowOff>140945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BEC103-3428-D24F-A885-634EA95E8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469770</xdr:colOff>
      <xdr:row>4</xdr:row>
      <xdr:rowOff>107950</xdr:rowOff>
    </xdr:from>
    <xdr:to>
      <xdr:col>16</xdr:col>
      <xdr:colOff>615820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FD45C-1353-1F80-2332-00FA618AF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495689</xdr:colOff>
      <xdr:row>23</xdr:row>
      <xdr:rowOff>100563</xdr:rowOff>
    </xdr:from>
    <xdr:to>
      <xdr:col>16</xdr:col>
      <xdr:colOff>578239</xdr:colOff>
      <xdr:row>37</xdr:row>
      <xdr:rowOff>87863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46DE2C-E92A-3A7D-809F-DF5708561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730639</xdr:colOff>
      <xdr:row>23</xdr:row>
      <xdr:rowOff>11663</xdr:rowOff>
    </xdr:from>
    <xdr:to>
      <xdr:col>21</xdr:col>
      <xdr:colOff>425839</xdr:colOff>
      <xdr:row>37</xdr:row>
      <xdr:rowOff>75163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2D02DD-2B92-9342-8FC3-2D9A4930F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398750</xdr:colOff>
      <xdr:row>40</xdr:row>
      <xdr:rowOff>70927</xdr:rowOff>
    </xdr:from>
    <xdr:to>
      <xdr:col>17</xdr:col>
      <xdr:colOff>443201</xdr:colOff>
      <xdr:row>53</xdr:row>
      <xdr:rowOff>106352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F7825D-A62E-CB44-BFEA-439072CEE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537040</xdr:colOff>
      <xdr:row>40</xdr:row>
      <xdr:rowOff>80953</xdr:rowOff>
    </xdr:from>
    <xdr:to>
      <xdr:col>22</xdr:col>
      <xdr:colOff>581489</xdr:colOff>
      <xdr:row>53</xdr:row>
      <xdr:rowOff>119052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935EB0-27B9-2442-B513-4F23A4B40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768220</xdr:colOff>
      <xdr:row>4</xdr:row>
      <xdr:rowOff>190500</xdr:rowOff>
    </xdr:from>
    <xdr:to>
      <xdr:col>25</xdr:col>
      <xdr:colOff>2332</xdr:colOff>
      <xdr:row>18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6C8A36-1789-8344-B83B-3F5870FFF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116632</xdr:colOff>
      <xdr:row>4</xdr:row>
      <xdr:rowOff>190500</xdr:rowOff>
    </xdr:from>
    <xdr:to>
      <xdr:col>28</xdr:col>
      <xdr:colOff>180132</xdr:colOff>
      <xdr:row>18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8F8DD4-50DA-B944-B2F5-3BAD1DA2D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294432</xdr:colOff>
      <xdr:row>4</xdr:row>
      <xdr:rowOff>190500</xdr:rowOff>
    </xdr:from>
    <xdr:to>
      <xdr:col>31</xdr:col>
      <xdr:colOff>361820</xdr:colOff>
      <xdr:row>18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1F4C56-02EC-524F-96BA-A2E8EC3B9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667139</xdr:colOff>
      <xdr:row>22</xdr:row>
      <xdr:rowOff>138663</xdr:rowOff>
    </xdr:from>
    <xdr:to>
      <xdr:col>25</xdr:col>
      <xdr:colOff>730639</xdr:colOff>
      <xdr:row>35</xdr:row>
      <xdr:rowOff>100563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8592B7-D387-D94A-AF14-979B1F5B2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2851</xdr:colOff>
      <xdr:row>22</xdr:row>
      <xdr:rowOff>193610</xdr:rowOff>
    </xdr:from>
    <xdr:to>
      <xdr:col>30</xdr:col>
      <xdr:colOff>66351</xdr:colOff>
      <xdr:row>35</xdr:row>
      <xdr:rowOff>155510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45D99C4-4E0E-9449-A5C6-6AC55C064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649928</xdr:colOff>
      <xdr:row>40</xdr:row>
      <xdr:rowOff>30005</xdr:rowOff>
    </xdr:from>
    <xdr:to>
      <xdr:col>27</xdr:col>
      <xdr:colOff>694378</xdr:colOff>
      <xdr:row>53</xdr:row>
      <xdr:rowOff>65430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C9E524B-6CD0-554A-90EF-7789548D4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820673</xdr:colOff>
      <xdr:row>40</xdr:row>
      <xdr:rowOff>66842</xdr:rowOff>
    </xdr:from>
    <xdr:to>
      <xdr:col>33</xdr:col>
      <xdr:colOff>32567</xdr:colOff>
      <xdr:row>53</xdr:row>
      <xdr:rowOff>104943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45F5A11-593F-334B-B877-23E32FCE4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603120</xdr:colOff>
      <xdr:row>4</xdr:row>
      <xdr:rowOff>190500</xdr:rowOff>
    </xdr:from>
    <xdr:to>
      <xdr:col>34</xdr:col>
      <xdr:colOff>666620</xdr:colOff>
      <xdr:row>18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E7E4C5-0279-8140-9255-DB51A9A4D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2333</xdr:colOff>
      <xdr:row>5</xdr:row>
      <xdr:rowOff>0</xdr:rowOff>
    </xdr:from>
    <xdr:to>
      <xdr:col>38</xdr:col>
      <xdr:colOff>65832</xdr:colOff>
      <xdr:row>18</xdr:row>
      <xdr:rowOff>165100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344B94C-6358-3647-BFFE-3764465F9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2332</xdr:colOff>
      <xdr:row>4</xdr:row>
      <xdr:rowOff>114300</xdr:rowOff>
    </xdr:from>
    <xdr:to>
      <xdr:col>21</xdr:col>
      <xdr:colOff>374520</xdr:colOff>
      <xdr:row>17</xdr:row>
      <xdr:rowOff>190500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804F752-7A35-504B-9034-F1912FD3F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129851</xdr:colOff>
      <xdr:row>22</xdr:row>
      <xdr:rowOff>193610</xdr:rowOff>
    </xdr:from>
    <xdr:to>
      <xdr:col>34</xdr:col>
      <xdr:colOff>193351</xdr:colOff>
      <xdr:row>35</xdr:row>
      <xdr:rowOff>155510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D0092D7-67AD-0C40-BD20-A1AA13EA4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34</xdr:col>
      <xdr:colOff>489339</xdr:colOff>
      <xdr:row>22</xdr:row>
      <xdr:rowOff>193610</xdr:rowOff>
    </xdr:from>
    <xdr:to>
      <xdr:col>38</xdr:col>
      <xdr:colOff>552839</xdr:colOff>
      <xdr:row>35</xdr:row>
      <xdr:rowOff>155510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A7D03C0-B895-1E43-97F2-8B92A9A1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33</xdr:col>
      <xdr:colOff>437445</xdr:colOff>
      <xdr:row>40</xdr:row>
      <xdr:rowOff>84667</xdr:rowOff>
    </xdr:from>
    <xdr:to>
      <xdr:col>38</xdr:col>
      <xdr:colOff>481894</xdr:colOff>
      <xdr:row>53</xdr:row>
      <xdr:rowOff>122768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E634FE4-7D00-A740-A4D2-2FE4CC265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6552-1FE4-7840-ABB0-8863D27860FA}">
  <dimension ref="A1:M10"/>
  <sheetViews>
    <sheetView workbookViewId="0">
      <selection activeCell="M11" sqref="M11"/>
    </sheetView>
  </sheetViews>
  <sheetFormatPr baseColWidth="10" defaultRowHeight="16" x14ac:dyDescent="0.2"/>
  <sheetData>
    <row r="1" spans="1:13" x14ac:dyDescent="0.2">
      <c r="A1" t="s">
        <v>2</v>
      </c>
      <c r="B1" t="s">
        <v>0</v>
      </c>
      <c r="K1" t="s">
        <v>1</v>
      </c>
      <c r="L1" t="s">
        <v>4</v>
      </c>
      <c r="M1" t="s">
        <v>5</v>
      </c>
    </row>
    <row r="2" spans="1:13" x14ac:dyDescent="0.2">
      <c r="A2" t="s">
        <v>3</v>
      </c>
      <c r="B2">
        <v>0</v>
      </c>
      <c r="C2">
        <v>1.46</v>
      </c>
      <c r="D2">
        <v>1.3</v>
      </c>
      <c r="K2">
        <f>AVERAGE(C2:F2)</f>
        <v>1.38</v>
      </c>
      <c r="L2">
        <f>STDEV(C2:F2)</f>
        <v>0.11313708498984755</v>
      </c>
      <c r="M2">
        <f>L2/SQRT(2)</f>
        <v>7.999999999999996E-2</v>
      </c>
    </row>
    <row r="3" spans="1:13" x14ac:dyDescent="0.2">
      <c r="A3" t="s">
        <v>3</v>
      </c>
      <c r="B3">
        <v>5</v>
      </c>
      <c r="C3">
        <v>0.83</v>
      </c>
      <c r="D3">
        <v>0.67</v>
      </c>
      <c r="E3">
        <v>0.82</v>
      </c>
      <c r="F3">
        <v>0.9</v>
      </c>
      <c r="K3">
        <f>AVERAGE(C3:F3)</f>
        <v>0.80499999999999994</v>
      </c>
      <c r="L3">
        <f>STDEV(C3:F3)</f>
        <v>9.6781540939720245E-2</v>
      </c>
      <c r="M3">
        <f>L3/SQRT(4)</f>
        <v>4.8390770469860123E-2</v>
      </c>
    </row>
    <row r="4" spans="1:13" x14ac:dyDescent="0.2">
      <c r="A4" t="s">
        <v>3</v>
      </c>
      <c r="B4">
        <v>15</v>
      </c>
      <c r="C4">
        <v>0.85</v>
      </c>
      <c r="D4">
        <v>0.79</v>
      </c>
      <c r="E4">
        <v>0.75</v>
      </c>
      <c r="F4">
        <v>0.67</v>
      </c>
      <c r="K4">
        <f>AVERAGE(C4:F4)</f>
        <v>0.76500000000000001</v>
      </c>
      <c r="L4">
        <f>STDEV(C4:F4)</f>
        <v>7.5498344352707469E-2</v>
      </c>
      <c r="M4">
        <f>L4/SQRT(4)</f>
        <v>3.7749172176353735E-2</v>
      </c>
    </row>
    <row r="5" spans="1:13" x14ac:dyDescent="0.2">
      <c r="A5" t="s">
        <v>3</v>
      </c>
      <c r="B5">
        <v>45</v>
      </c>
      <c r="C5">
        <v>0.8</v>
      </c>
      <c r="D5">
        <v>0.6</v>
      </c>
      <c r="E5">
        <v>0.73</v>
      </c>
      <c r="F5">
        <v>0.7</v>
      </c>
      <c r="K5">
        <f>AVERAGE(C5:F5)</f>
        <v>0.70750000000000002</v>
      </c>
      <c r="L5">
        <f>STDEV(C5:F5)</f>
        <v>8.3016062702748028E-2</v>
      </c>
      <c r="M5">
        <f>L5/SQRT(4)</f>
        <v>4.1508031351374014E-2</v>
      </c>
    </row>
    <row r="7" spans="1:13" x14ac:dyDescent="0.2">
      <c r="A7" t="s">
        <v>6</v>
      </c>
      <c r="B7">
        <v>0</v>
      </c>
      <c r="C7">
        <v>0.8</v>
      </c>
      <c r="D7">
        <v>0.76</v>
      </c>
      <c r="E7">
        <v>0.77</v>
      </c>
      <c r="F7">
        <v>0.86</v>
      </c>
      <c r="K7">
        <f>AVERAGE(C7:F7)</f>
        <v>0.79749999999999999</v>
      </c>
      <c r="L7">
        <f>STDEV(C7:F7)</f>
        <v>4.4999999999999991E-2</v>
      </c>
      <c r="M7">
        <f>L7/SQRT(4)</f>
        <v>2.2499999999999996E-2</v>
      </c>
    </row>
    <row r="8" spans="1:13" x14ac:dyDescent="0.2">
      <c r="B8">
        <v>15</v>
      </c>
      <c r="C8">
        <v>0.77</v>
      </c>
      <c r="D8">
        <v>0.79</v>
      </c>
      <c r="E8">
        <v>0.78</v>
      </c>
      <c r="F8">
        <v>0.74</v>
      </c>
      <c r="K8">
        <f>AVERAGE(C8:F8)</f>
        <v>0.77</v>
      </c>
      <c r="L8">
        <f>STDEV(C8:F8)</f>
        <v>2.1602468994692887E-2</v>
      </c>
      <c r="M8">
        <f>L8/SQRT(4)</f>
        <v>1.0801234497346443E-2</v>
      </c>
    </row>
    <row r="9" spans="1:13" x14ac:dyDescent="0.2">
      <c r="B9">
        <v>40</v>
      </c>
      <c r="C9">
        <v>0.73</v>
      </c>
      <c r="D9">
        <v>0.75</v>
      </c>
      <c r="E9">
        <v>0.79</v>
      </c>
      <c r="F9">
        <v>0.82</v>
      </c>
      <c r="G9">
        <v>0.76</v>
      </c>
      <c r="K9">
        <f>AVERAGE(C9:G9)</f>
        <v>0.76999999999999991</v>
      </c>
      <c r="L9">
        <f>STDEV(C9:G9)</f>
        <v>3.5355339059327369E-2</v>
      </c>
      <c r="M9">
        <f>L9/SQRT(5)</f>
        <v>1.5811388300841892E-2</v>
      </c>
    </row>
    <row r="10" spans="1:13" x14ac:dyDescent="0.2">
      <c r="B10" t="s">
        <v>7</v>
      </c>
      <c r="C10">
        <v>0.8</v>
      </c>
      <c r="D10">
        <v>0.8</v>
      </c>
      <c r="E10">
        <v>0.76</v>
      </c>
      <c r="F10">
        <v>0.71</v>
      </c>
      <c r="G10">
        <v>0.71</v>
      </c>
      <c r="H10">
        <v>0.78</v>
      </c>
      <c r="I10">
        <v>0.76</v>
      </c>
      <c r="K10">
        <f>AVERAGE(C10:I10)</f>
        <v>0.76</v>
      </c>
      <c r="L10">
        <f>STDEV(C10:I10)</f>
        <v>3.7859388972001862E-2</v>
      </c>
      <c r="M10">
        <f>L10/SQRT(7)</f>
        <v>1.4309504001254032E-2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1C12-3360-654A-AF00-DE43F8E09AAF}">
  <dimension ref="A1:J128"/>
  <sheetViews>
    <sheetView tabSelected="1" topLeftCell="A108" workbookViewId="0">
      <selection activeCell="G127" sqref="G127"/>
    </sheetView>
  </sheetViews>
  <sheetFormatPr baseColWidth="10" defaultRowHeight="16" x14ac:dyDescent="0.2"/>
  <sheetData>
    <row r="1" spans="1:8" x14ac:dyDescent="0.2">
      <c r="A1" t="s">
        <v>14</v>
      </c>
    </row>
    <row r="2" spans="1:8" x14ac:dyDescent="0.2">
      <c r="A2" t="s">
        <v>8</v>
      </c>
      <c r="B2" t="s">
        <v>1</v>
      </c>
      <c r="E2" t="s">
        <v>10</v>
      </c>
      <c r="F2" t="s">
        <v>11</v>
      </c>
      <c r="G2" t="s">
        <v>13</v>
      </c>
    </row>
    <row r="3" spans="1:8" x14ac:dyDescent="0.2">
      <c r="A3">
        <v>-5</v>
      </c>
      <c r="B3">
        <v>0.55000000000000004</v>
      </c>
      <c r="C3">
        <v>0.7</v>
      </c>
      <c r="D3">
        <v>0.61</v>
      </c>
      <c r="E3">
        <f>AVERAGE(B3:D3)</f>
        <v>0.62</v>
      </c>
      <c r="F3">
        <f>STDEV(B3:D3)/SQRT(COUNT(B3:D3))</f>
        <v>4.3588989435406712E-2</v>
      </c>
    </row>
    <row r="4" spans="1:8" x14ac:dyDescent="0.2">
      <c r="A4">
        <v>0</v>
      </c>
      <c r="B4">
        <v>0.86</v>
      </c>
      <c r="C4">
        <v>2.19</v>
      </c>
      <c r="D4">
        <v>4.28</v>
      </c>
      <c r="E4">
        <f>AVERAGE(B4:D4)</f>
        <v>2.4433333333333334</v>
      </c>
      <c r="F4">
        <f>STDEV(B4:D4)/SQRT(COUNT(B4:D4))</f>
        <v>0.9953614642151084</v>
      </c>
    </row>
    <row r="5" spans="1:8" x14ac:dyDescent="0.2">
      <c r="A5">
        <v>5</v>
      </c>
      <c r="B5">
        <v>0.8</v>
      </c>
      <c r="C5">
        <v>1.61</v>
      </c>
      <c r="D5">
        <v>0.93</v>
      </c>
      <c r="E5">
        <f t="shared" ref="E5:E7" si="0">AVERAGE(B5:D5)</f>
        <v>1.1133333333333335</v>
      </c>
      <c r="F5">
        <f>STDEV(B5:D5)/SQRT(COUNT(B5:D5))</f>
        <v>0.25115289721159456</v>
      </c>
    </row>
    <row r="6" spans="1:8" x14ac:dyDescent="0.2">
      <c r="A6">
        <v>15</v>
      </c>
      <c r="B6">
        <v>0.65</v>
      </c>
      <c r="C6">
        <v>0.64</v>
      </c>
      <c r="D6">
        <v>0.6</v>
      </c>
      <c r="E6">
        <f t="shared" si="0"/>
        <v>0.63</v>
      </c>
      <c r="F6">
        <f>STDEV(B6:D6)/SQRT(COUNT(B6:D6))</f>
        <v>1.527525231651948E-2</v>
      </c>
    </row>
    <row r="7" spans="1:8" x14ac:dyDescent="0.2">
      <c r="A7">
        <v>45</v>
      </c>
      <c r="B7">
        <v>0.57999999999999996</v>
      </c>
      <c r="C7">
        <v>0.62</v>
      </c>
      <c r="D7">
        <v>0.61</v>
      </c>
      <c r="E7">
        <f t="shared" si="0"/>
        <v>0.60333333333333339</v>
      </c>
      <c r="F7">
        <f>STDEV(B7:D7)/SQRT(COUNT(B7:D7))</f>
        <v>1.2018504251546642E-2</v>
      </c>
    </row>
    <row r="8" spans="1:8" x14ac:dyDescent="0.2">
      <c r="A8">
        <v>180</v>
      </c>
      <c r="B8">
        <v>0.59</v>
      </c>
      <c r="E8">
        <v>0.59</v>
      </c>
      <c r="F8">
        <v>0</v>
      </c>
    </row>
    <row r="10" spans="1:8" x14ac:dyDescent="0.2">
      <c r="B10">
        <f>AVERAGE(0.6,0.64)</f>
        <v>0.62</v>
      </c>
      <c r="C10">
        <f>STDEV(0.6,0.64)/1.4</f>
        <v>2.0203050891044235E-2</v>
      </c>
    </row>
    <row r="12" spans="1:8" x14ac:dyDescent="0.2">
      <c r="A12" t="s">
        <v>12</v>
      </c>
    </row>
    <row r="13" spans="1:8" x14ac:dyDescent="0.2">
      <c r="A13" t="s">
        <v>8</v>
      </c>
      <c r="B13" t="s">
        <v>1</v>
      </c>
      <c r="G13" t="s">
        <v>10</v>
      </c>
      <c r="H13" t="s">
        <v>15</v>
      </c>
    </row>
    <row r="14" spans="1:8" x14ac:dyDescent="0.2">
      <c r="A14">
        <v>-5</v>
      </c>
      <c r="B14">
        <v>0.56000000000000005</v>
      </c>
      <c r="C14">
        <v>0.8</v>
      </c>
      <c r="D14">
        <v>0.57999999999999996</v>
      </c>
      <c r="E14">
        <v>0.6</v>
      </c>
      <c r="G14">
        <f>AVERAGE(B14:F14)</f>
        <v>0.63500000000000001</v>
      </c>
      <c r="H14">
        <f>STDEV(B14:F14)/SQRT(COUNT(B14:F14))</f>
        <v>5.560275772537452E-2</v>
      </c>
    </row>
    <row r="15" spans="1:8" x14ac:dyDescent="0.2">
      <c r="A15">
        <v>0</v>
      </c>
      <c r="B15">
        <v>0.91</v>
      </c>
      <c r="C15">
        <v>0.56999999999999995</v>
      </c>
      <c r="D15">
        <v>0.61</v>
      </c>
      <c r="E15">
        <v>0.6</v>
      </c>
      <c r="G15">
        <f>AVERAGE(B15:F15)</f>
        <v>0.67249999999999999</v>
      </c>
      <c r="H15">
        <f>STDEV(B15:F15)/SQRT(COUNT(B15:F15))</f>
        <v>7.9621500446382845E-2</v>
      </c>
    </row>
    <row r="16" spans="1:8" x14ac:dyDescent="0.2">
      <c r="A16">
        <v>5</v>
      </c>
      <c r="B16">
        <v>0.69</v>
      </c>
      <c r="C16">
        <v>0.66</v>
      </c>
      <c r="D16">
        <v>0.6</v>
      </c>
      <c r="G16">
        <f t="shared" ref="G16:G18" si="1">AVERAGE(B16:F16)</f>
        <v>0.65</v>
      </c>
      <c r="H16">
        <f t="shared" ref="H16:H18" si="2">STDEV(B16:F16)/SQRT(COUNT(B16:F16))</f>
        <v>2.6457513110645904E-2</v>
      </c>
    </row>
    <row r="17" spans="1:8" x14ac:dyDescent="0.2">
      <c r="A17">
        <v>15</v>
      </c>
      <c r="B17">
        <v>0.61</v>
      </c>
      <c r="C17">
        <v>0.67</v>
      </c>
      <c r="D17">
        <v>0.62</v>
      </c>
      <c r="E17">
        <v>0.78</v>
      </c>
      <c r="F17">
        <v>0.63</v>
      </c>
      <c r="G17">
        <f t="shared" si="1"/>
        <v>0.66199999999999992</v>
      </c>
      <c r="H17">
        <f t="shared" si="2"/>
        <v>3.1208973068654475E-2</v>
      </c>
    </row>
    <row r="18" spans="1:8" x14ac:dyDescent="0.2">
      <c r="A18">
        <v>40</v>
      </c>
      <c r="B18">
        <v>0.6</v>
      </c>
      <c r="C18">
        <v>0.69</v>
      </c>
      <c r="D18">
        <v>0.68</v>
      </c>
      <c r="E18">
        <v>0.62</v>
      </c>
      <c r="F18">
        <v>0.6</v>
      </c>
      <c r="G18">
        <f t="shared" si="1"/>
        <v>0.63800000000000012</v>
      </c>
      <c r="H18">
        <f t="shared" si="2"/>
        <v>1.9595917942265426E-2</v>
      </c>
    </row>
    <row r="21" spans="1:8" x14ac:dyDescent="0.2">
      <c r="F21">
        <f>STDEV(0.61,0.63)/1.41</f>
        <v>1.0029883421085789E-2</v>
      </c>
    </row>
    <row r="23" spans="1:8" x14ac:dyDescent="0.2">
      <c r="A23" t="s">
        <v>14</v>
      </c>
    </row>
    <row r="24" spans="1:8" x14ac:dyDescent="0.2">
      <c r="A24" t="s">
        <v>8</v>
      </c>
      <c r="B24" t="s">
        <v>32</v>
      </c>
      <c r="E24" t="s">
        <v>10</v>
      </c>
      <c r="F24" t="s">
        <v>15</v>
      </c>
    </row>
    <row r="25" spans="1:8" x14ac:dyDescent="0.2">
      <c r="A25">
        <v>-5</v>
      </c>
      <c r="B25">
        <v>0.9</v>
      </c>
      <c r="C25">
        <v>0.3</v>
      </c>
      <c r="D25">
        <v>0.9</v>
      </c>
      <c r="E25">
        <f t="shared" ref="E25" si="3">AVERAGE(B25:D25)</f>
        <v>0.70000000000000007</v>
      </c>
      <c r="F25">
        <f>STDEV(B25:D25)/SQRT(COUNT(B25:D25))</f>
        <v>0.2</v>
      </c>
    </row>
    <row r="26" spans="1:8" x14ac:dyDescent="0.2">
      <c r="A26">
        <v>0</v>
      </c>
      <c r="B26">
        <v>0.44</v>
      </c>
      <c r="C26">
        <v>0.12</v>
      </c>
      <c r="D26">
        <v>0</v>
      </c>
      <c r="E26">
        <f>AVERAGE(B26:D26)</f>
        <v>0.18666666666666668</v>
      </c>
      <c r="F26">
        <f>STDEV(B26:D26)/SQRT(COUNT(B26:D26))</f>
        <v>0.13131810402394806</v>
      </c>
    </row>
    <row r="27" spans="1:8" x14ac:dyDescent="0.2">
      <c r="A27">
        <v>5</v>
      </c>
      <c r="B27">
        <v>1.2</v>
      </c>
      <c r="C27">
        <v>0.17</v>
      </c>
      <c r="D27">
        <v>0.03</v>
      </c>
      <c r="E27">
        <f t="shared" ref="E27:E29" si="4">AVERAGE(B27:D27)</f>
        <v>0.46666666666666662</v>
      </c>
      <c r="F27">
        <f>STDEV(B27:D27)/SQRT(COUNT(B27:D27))</f>
        <v>0.36888721552498643</v>
      </c>
    </row>
    <row r="28" spans="1:8" x14ac:dyDescent="0.2">
      <c r="A28">
        <v>15</v>
      </c>
      <c r="B28">
        <v>1.2</v>
      </c>
      <c r="C28">
        <v>1.1000000000000001</v>
      </c>
      <c r="D28">
        <v>1</v>
      </c>
      <c r="E28">
        <f t="shared" si="4"/>
        <v>1.0999999999999999</v>
      </c>
      <c r="F28">
        <f>STDEV(B28:D28)/SQRT(COUNT(B28:D28))</f>
        <v>5.7735026918962568E-2</v>
      </c>
    </row>
    <row r="29" spans="1:8" x14ac:dyDescent="0.2">
      <c r="A29">
        <v>45</v>
      </c>
      <c r="B29">
        <v>1.7</v>
      </c>
      <c r="C29">
        <v>1.4</v>
      </c>
      <c r="D29">
        <v>1.3</v>
      </c>
      <c r="E29">
        <f t="shared" si="4"/>
        <v>1.4666666666666666</v>
      </c>
      <c r="F29">
        <f>STDEV(B29:D29)/SQRT(COUNT(B29:D29))</f>
        <v>0.12018504251546708</v>
      </c>
    </row>
    <row r="30" spans="1:8" x14ac:dyDescent="0.2">
      <c r="A30">
        <v>180</v>
      </c>
      <c r="B30">
        <v>1.1000000000000001</v>
      </c>
      <c r="E30">
        <v>1.1000000000000001</v>
      </c>
      <c r="F30">
        <v>0</v>
      </c>
    </row>
    <row r="34" spans="1:10" x14ac:dyDescent="0.2">
      <c r="A34" t="s">
        <v>12</v>
      </c>
    </row>
    <row r="35" spans="1:10" x14ac:dyDescent="0.2">
      <c r="A35" t="s">
        <v>8</v>
      </c>
      <c r="B35" t="s">
        <v>41</v>
      </c>
      <c r="G35" t="s">
        <v>10</v>
      </c>
      <c r="H35" t="s">
        <v>15</v>
      </c>
    </row>
    <row r="36" spans="1:10" x14ac:dyDescent="0.2">
      <c r="A36">
        <v>-5</v>
      </c>
      <c r="B36">
        <v>1</v>
      </c>
      <c r="C36">
        <v>0.8</v>
      </c>
      <c r="D36">
        <v>1.3</v>
      </c>
      <c r="E36">
        <v>1.1000000000000001</v>
      </c>
      <c r="G36">
        <f>AVERAGE(B36:F36)</f>
        <v>1.05</v>
      </c>
      <c r="H36">
        <f>STDEV(B36:F36)/SQRT(COUNT(B36:F36))</f>
        <v>0.10408329997330659</v>
      </c>
    </row>
    <row r="37" spans="1:10" x14ac:dyDescent="0.2">
      <c r="A37">
        <v>0</v>
      </c>
      <c r="B37">
        <v>0.9</v>
      </c>
      <c r="C37">
        <v>1.6</v>
      </c>
      <c r="D37">
        <v>1</v>
      </c>
      <c r="E37">
        <v>1.5</v>
      </c>
      <c r="G37">
        <f>AVERAGE(B37:F37)</f>
        <v>1.25</v>
      </c>
      <c r="H37">
        <f>STDEV(B37:F37)/SQRT(COUNT(B37:F37))</f>
        <v>0.17559422921421255</v>
      </c>
    </row>
    <row r="38" spans="1:10" x14ac:dyDescent="0.2">
      <c r="A38">
        <v>5</v>
      </c>
      <c r="B38">
        <v>1</v>
      </c>
      <c r="C38">
        <v>1</v>
      </c>
      <c r="D38">
        <v>0.9</v>
      </c>
      <c r="G38">
        <f t="shared" ref="G38:G40" si="5">AVERAGE(B38:F38)</f>
        <v>0.96666666666666667</v>
      </c>
      <c r="H38">
        <f t="shared" ref="H38:H40" si="6">STDEV(B38:F38)/SQRT(COUNT(B38:F38))</f>
        <v>3.3333333333333333E-2</v>
      </c>
    </row>
    <row r="39" spans="1:10" x14ac:dyDescent="0.2">
      <c r="A39">
        <v>15</v>
      </c>
      <c r="B39">
        <v>1.2</v>
      </c>
      <c r="C39">
        <v>0.8</v>
      </c>
      <c r="D39">
        <v>1</v>
      </c>
      <c r="E39">
        <v>1</v>
      </c>
      <c r="F39">
        <v>0.7</v>
      </c>
      <c r="G39">
        <f t="shared" si="5"/>
        <v>0.94000000000000006</v>
      </c>
      <c r="H39">
        <f t="shared" si="6"/>
        <v>8.7177978870813258E-2</v>
      </c>
    </row>
    <row r="40" spans="1:10" x14ac:dyDescent="0.2">
      <c r="A40">
        <v>40</v>
      </c>
      <c r="B40">
        <v>1.1000000000000001</v>
      </c>
      <c r="C40">
        <v>0.7</v>
      </c>
      <c r="D40">
        <v>0.9</v>
      </c>
      <c r="E40">
        <v>1.2</v>
      </c>
      <c r="F40">
        <v>1</v>
      </c>
      <c r="G40">
        <f t="shared" si="5"/>
        <v>0.98000000000000009</v>
      </c>
      <c r="H40">
        <f t="shared" si="6"/>
        <v>8.6023252670425918E-2</v>
      </c>
    </row>
    <row r="45" spans="1:10" x14ac:dyDescent="0.2">
      <c r="A45" t="s">
        <v>14</v>
      </c>
    </row>
    <row r="46" spans="1:10" x14ac:dyDescent="0.2">
      <c r="A46" t="s">
        <v>8</v>
      </c>
      <c r="B46" t="s">
        <v>53</v>
      </c>
      <c r="C46" t="s">
        <v>35</v>
      </c>
      <c r="D46" t="s">
        <v>36</v>
      </c>
      <c r="E46" t="s">
        <v>37</v>
      </c>
      <c r="F46" t="s">
        <v>38</v>
      </c>
      <c r="G46" t="s">
        <v>33</v>
      </c>
      <c r="H46" t="s">
        <v>34</v>
      </c>
      <c r="I46" t="s">
        <v>39</v>
      </c>
      <c r="J46" t="s">
        <v>40</v>
      </c>
    </row>
    <row r="47" spans="1:10" x14ac:dyDescent="0.2">
      <c r="A47">
        <v>-5</v>
      </c>
      <c r="B47" t="s">
        <v>31</v>
      </c>
      <c r="C47">
        <v>300</v>
      </c>
      <c r="D47">
        <v>400</v>
      </c>
      <c r="E47">
        <v>100</v>
      </c>
      <c r="F47">
        <f>C47*D47*E47</f>
        <v>12000000</v>
      </c>
    </row>
    <row r="48" spans="1:10" x14ac:dyDescent="0.2">
      <c r="A48">
        <v>-5</v>
      </c>
      <c r="B48" t="s">
        <v>31</v>
      </c>
      <c r="C48">
        <v>500</v>
      </c>
      <c r="D48">
        <v>200</v>
      </c>
      <c r="E48">
        <v>150</v>
      </c>
      <c r="F48">
        <f>C48*D48*E48</f>
        <v>15000000</v>
      </c>
    </row>
    <row r="49" spans="1:10" x14ac:dyDescent="0.2">
      <c r="A49">
        <v>-5</v>
      </c>
      <c r="B49" t="s">
        <v>31</v>
      </c>
      <c r="C49">
        <v>400</v>
      </c>
      <c r="D49">
        <v>350</v>
      </c>
      <c r="E49">
        <v>150</v>
      </c>
      <c r="F49">
        <f>C49*D49*E49</f>
        <v>21000000</v>
      </c>
      <c r="G49">
        <f>AVERAGE(C47:C49)</f>
        <v>400</v>
      </c>
      <c r="H49">
        <f>STDEV(C47:C49)/1.73</f>
        <v>57.80346820809249</v>
      </c>
      <c r="I49">
        <f>AVERAGE(F47:F49)</f>
        <v>16000000</v>
      </c>
      <c r="J49">
        <f>STDEV(F47:F49)/1.73</f>
        <v>2648887.6849455722</v>
      </c>
    </row>
    <row r="50" spans="1:10" x14ac:dyDescent="0.2">
      <c r="A50">
        <v>0</v>
      </c>
      <c r="B50" t="s">
        <v>30</v>
      </c>
      <c r="C50">
        <v>800</v>
      </c>
      <c r="D50">
        <v>450</v>
      </c>
      <c r="E50">
        <v>200</v>
      </c>
      <c r="F50">
        <f>C50*D50*E50</f>
        <v>72000000</v>
      </c>
    </row>
    <row r="51" spans="1:10" x14ac:dyDescent="0.2">
      <c r="A51">
        <v>0</v>
      </c>
      <c r="B51" t="s">
        <v>30</v>
      </c>
      <c r="C51">
        <v>400</v>
      </c>
      <c r="D51">
        <v>250</v>
      </c>
      <c r="E51">
        <v>100</v>
      </c>
      <c r="F51">
        <f t="shared" ref="F51:F86" si="7">C51*D51*E51</f>
        <v>10000000</v>
      </c>
    </row>
    <row r="52" spans="1:10" x14ac:dyDescent="0.2">
      <c r="A52">
        <v>0</v>
      </c>
      <c r="B52" t="s">
        <v>30</v>
      </c>
      <c r="C52">
        <v>400</v>
      </c>
      <c r="D52">
        <v>400</v>
      </c>
      <c r="E52">
        <v>100</v>
      </c>
      <c r="F52">
        <f t="shared" si="7"/>
        <v>16000000</v>
      </c>
      <c r="G52">
        <f>AVERAGE(C50:C52)</f>
        <v>533.33333333333337</v>
      </c>
      <c r="H52">
        <f>STDEV(C50:C52)/1.73</f>
        <v>133.49139172014466</v>
      </c>
      <c r="I52">
        <f>AVERAGE(F50:F52)</f>
        <v>32666666.666666668</v>
      </c>
      <c r="J52">
        <f>STDEV(F50:F52)/1.73</f>
        <v>19766194.378777895</v>
      </c>
    </row>
    <row r="53" spans="1:10" x14ac:dyDescent="0.2">
      <c r="A53">
        <v>5</v>
      </c>
      <c r="B53" t="s">
        <v>30</v>
      </c>
      <c r="C53">
        <v>400</v>
      </c>
      <c r="D53">
        <v>400</v>
      </c>
      <c r="E53">
        <v>200</v>
      </c>
      <c r="F53">
        <f t="shared" si="7"/>
        <v>32000000</v>
      </c>
    </row>
    <row r="54" spans="1:10" x14ac:dyDescent="0.2">
      <c r="A54">
        <v>5</v>
      </c>
      <c r="B54" t="s">
        <v>30</v>
      </c>
      <c r="C54">
        <v>400</v>
      </c>
      <c r="D54">
        <v>250</v>
      </c>
      <c r="E54">
        <v>100</v>
      </c>
      <c r="F54">
        <f t="shared" si="7"/>
        <v>10000000</v>
      </c>
    </row>
    <row r="55" spans="1:10" x14ac:dyDescent="0.2">
      <c r="A55">
        <v>5</v>
      </c>
      <c r="B55" t="s">
        <v>30</v>
      </c>
      <c r="C55">
        <v>350</v>
      </c>
      <c r="D55">
        <v>250</v>
      </c>
      <c r="E55">
        <v>100</v>
      </c>
      <c r="F55">
        <f t="shared" si="7"/>
        <v>8750000</v>
      </c>
      <c r="G55">
        <f>AVERAGE(C53:C55)</f>
        <v>383.33333333333331</v>
      </c>
      <c r="H55">
        <f>STDEV(C53:C55)/1.73</f>
        <v>16.686423965018086</v>
      </c>
      <c r="I55">
        <f>AVERAGE(F53:F55)</f>
        <v>16916666.666666668</v>
      </c>
      <c r="J55">
        <f>STDEV(F53:F55)/1.73</f>
        <v>7559244.7333932901</v>
      </c>
    </row>
    <row r="56" spans="1:10" x14ac:dyDescent="0.2">
      <c r="A56">
        <v>15</v>
      </c>
      <c r="B56" t="s">
        <v>30</v>
      </c>
      <c r="C56">
        <v>550</v>
      </c>
      <c r="D56">
        <v>350</v>
      </c>
      <c r="E56">
        <v>150</v>
      </c>
      <c r="F56">
        <f t="shared" si="7"/>
        <v>28875000</v>
      </c>
    </row>
    <row r="57" spans="1:10" x14ac:dyDescent="0.2">
      <c r="A57">
        <v>15</v>
      </c>
      <c r="B57" t="s">
        <v>31</v>
      </c>
      <c r="C57">
        <v>350</v>
      </c>
      <c r="D57">
        <v>350</v>
      </c>
      <c r="E57">
        <v>150</v>
      </c>
      <c r="F57">
        <f t="shared" si="7"/>
        <v>18375000</v>
      </c>
    </row>
    <row r="58" spans="1:10" x14ac:dyDescent="0.2">
      <c r="A58">
        <v>15</v>
      </c>
      <c r="B58" t="s">
        <v>31</v>
      </c>
      <c r="C58">
        <v>600</v>
      </c>
      <c r="D58">
        <v>300</v>
      </c>
      <c r="E58">
        <v>100</v>
      </c>
      <c r="F58">
        <f t="shared" si="7"/>
        <v>18000000</v>
      </c>
      <c r="G58">
        <f>AVERAGE(C56:C58)</f>
        <v>500</v>
      </c>
      <c r="H58">
        <f>STDEV(C56:C58)/1.73</f>
        <v>76.466800897820548</v>
      </c>
      <c r="I58">
        <f>AVERAGE(F56:F58)</f>
        <v>21750000</v>
      </c>
      <c r="J58">
        <f>STDEV(F56:F58)/1.73</f>
        <v>3568369.4291519495</v>
      </c>
    </row>
    <row r="59" spans="1:10" x14ac:dyDescent="0.2">
      <c r="A59">
        <v>45</v>
      </c>
      <c r="B59" t="s">
        <v>31</v>
      </c>
      <c r="C59">
        <v>900</v>
      </c>
      <c r="D59">
        <v>400</v>
      </c>
      <c r="E59">
        <v>200</v>
      </c>
      <c r="F59">
        <f t="shared" si="7"/>
        <v>72000000</v>
      </c>
    </row>
    <row r="60" spans="1:10" x14ac:dyDescent="0.2">
      <c r="A60">
        <v>45</v>
      </c>
      <c r="B60" t="s">
        <v>31</v>
      </c>
      <c r="C60">
        <v>700</v>
      </c>
      <c r="D60">
        <v>500</v>
      </c>
      <c r="E60">
        <v>200</v>
      </c>
      <c r="F60">
        <f t="shared" si="7"/>
        <v>70000000</v>
      </c>
    </row>
    <row r="61" spans="1:10" x14ac:dyDescent="0.2">
      <c r="A61">
        <v>45</v>
      </c>
      <c r="B61" t="s">
        <v>31</v>
      </c>
      <c r="C61">
        <v>450</v>
      </c>
      <c r="D61">
        <v>350</v>
      </c>
      <c r="E61">
        <v>150</v>
      </c>
      <c r="F61">
        <f t="shared" si="7"/>
        <v>23625000</v>
      </c>
      <c r="G61">
        <f>AVERAGE(C59:C61)</f>
        <v>683.33333333333337</v>
      </c>
      <c r="H61">
        <f>STDEV(C59:C61)/1.73</f>
        <v>130.32513736482358</v>
      </c>
      <c r="I61">
        <f>AVERAGE(F59:F61)</f>
        <v>55208333.333333336</v>
      </c>
      <c r="J61">
        <f>STDEV(F59:F61)/1.73</f>
        <v>15820949.779136969</v>
      </c>
    </row>
    <row r="62" spans="1:10" x14ac:dyDescent="0.2">
      <c r="A62">
        <v>180</v>
      </c>
      <c r="B62" t="s">
        <v>31</v>
      </c>
      <c r="C62">
        <v>300</v>
      </c>
      <c r="D62">
        <v>300</v>
      </c>
      <c r="E62">
        <v>100</v>
      </c>
      <c r="F62">
        <f t="shared" si="7"/>
        <v>9000000</v>
      </c>
      <c r="G62">
        <v>300</v>
      </c>
      <c r="I62">
        <v>9000000</v>
      </c>
    </row>
    <row r="64" spans="1:10" x14ac:dyDescent="0.2">
      <c r="A64" t="s">
        <v>42</v>
      </c>
    </row>
    <row r="65" spans="1:10" x14ac:dyDescent="0.2">
      <c r="A65" t="s">
        <v>8</v>
      </c>
      <c r="B65" t="s">
        <v>53</v>
      </c>
      <c r="C65" t="s">
        <v>35</v>
      </c>
      <c r="D65" t="s">
        <v>36</v>
      </c>
      <c r="E65" t="s">
        <v>37</v>
      </c>
      <c r="F65" t="s">
        <v>38</v>
      </c>
      <c r="G65" t="s">
        <v>33</v>
      </c>
      <c r="H65" t="s">
        <v>34</v>
      </c>
      <c r="I65" t="s">
        <v>39</v>
      </c>
      <c r="J65" t="s">
        <v>40</v>
      </c>
    </row>
    <row r="66" spans="1:10" x14ac:dyDescent="0.2">
      <c r="A66">
        <v>-5</v>
      </c>
      <c r="B66" t="s">
        <v>31</v>
      </c>
      <c r="C66">
        <v>300</v>
      </c>
      <c r="D66">
        <v>300</v>
      </c>
      <c r="E66">
        <v>150</v>
      </c>
      <c r="F66">
        <f t="shared" ref="F66:F81" si="8">C66*D66*E66</f>
        <v>13500000</v>
      </c>
    </row>
    <row r="67" spans="1:10" x14ac:dyDescent="0.2">
      <c r="A67">
        <v>-5</v>
      </c>
      <c r="B67" t="s">
        <v>31</v>
      </c>
      <c r="C67">
        <v>300</v>
      </c>
      <c r="D67">
        <v>300</v>
      </c>
      <c r="E67">
        <v>150</v>
      </c>
      <c r="F67">
        <f t="shared" si="8"/>
        <v>13500000</v>
      </c>
    </row>
    <row r="68" spans="1:10" x14ac:dyDescent="0.2">
      <c r="A68">
        <v>-5</v>
      </c>
      <c r="B68" t="s">
        <v>31</v>
      </c>
      <c r="C68">
        <v>300</v>
      </c>
      <c r="D68">
        <v>300</v>
      </c>
      <c r="E68">
        <v>150</v>
      </c>
      <c r="F68">
        <f t="shared" si="8"/>
        <v>13500000</v>
      </c>
    </row>
    <row r="69" spans="1:10" x14ac:dyDescent="0.2">
      <c r="A69">
        <v>-5</v>
      </c>
      <c r="B69" t="s">
        <v>31</v>
      </c>
      <c r="C69">
        <v>250</v>
      </c>
      <c r="D69">
        <v>250</v>
      </c>
      <c r="E69">
        <v>150</v>
      </c>
      <c r="F69">
        <f t="shared" si="8"/>
        <v>9375000</v>
      </c>
      <c r="G69">
        <f>AVERAGE(C66:C69)</f>
        <v>287.5</v>
      </c>
      <c r="H69">
        <f>STDEV(C66:C69)/1.73</f>
        <v>14.450867052023122</v>
      </c>
      <c r="I69">
        <f>AVERAGE(F66:F69)</f>
        <v>12468750</v>
      </c>
      <c r="J69">
        <f>STDEV(F66:F69)/1.73</f>
        <v>1192196.5317919075</v>
      </c>
    </row>
    <row r="70" spans="1:10" x14ac:dyDescent="0.2">
      <c r="A70">
        <v>0</v>
      </c>
      <c r="B70" t="s">
        <v>30</v>
      </c>
      <c r="C70">
        <v>300</v>
      </c>
      <c r="D70">
        <v>300</v>
      </c>
      <c r="E70">
        <v>150</v>
      </c>
      <c r="F70">
        <f t="shared" si="8"/>
        <v>13500000</v>
      </c>
    </row>
    <row r="71" spans="1:10" x14ac:dyDescent="0.2">
      <c r="A71">
        <v>0</v>
      </c>
      <c r="B71" t="s">
        <v>30</v>
      </c>
      <c r="C71">
        <v>300</v>
      </c>
      <c r="D71">
        <v>300</v>
      </c>
      <c r="E71">
        <v>150</v>
      </c>
      <c r="F71">
        <f t="shared" si="8"/>
        <v>13500000</v>
      </c>
    </row>
    <row r="72" spans="1:10" x14ac:dyDescent="0.2">
      <c r="A72">
        <v>0</v>
      </c>
      <c r="B72" t="s">
        <v>30</v>
      </c>
      <c r="C72">
        <v>300</v>
      </c>
      <c r="D72">
        <v>300</v>
      </c>
      <c r="E72">
        <v>150</v>
      </c>
      <c r="F72">
        <f t="shared" si="8"/>
        <v>13500000</v>
      </c>
    </row>
    <row r="73" spans="1:10" x14ac:dyDescent="0.2">
      <c r="A73">
        <v>0</v>
      </c>
      <c r="B73" t="s">
        <v>30</v>
      </c>
      <c r="C73">
        <v>350</v>
      </c>
      <c r="D73">
        <v>350</v>
      </c>
      <c r="E73">
        <v>200</v>
      </c>
      <c r="F73">
        <f t="shared" si="8"/>
        <v>24500000</v>
      </c>
      <c r="G73">
        <f>AVERAGE(C70:C73)</f>
        <v>312.5</v>
      </c>
      <c r="H73">
        <f>STDEV(C70:C73)/1.73</f>
        <v>14.450867052023122</v>
      </c>
      <c r="I73">
        <f>AVERAGE(F70:F73)</f>
        <v>16250000</v>
      </c>
      <c r="J73">
        <f>STDEV(F70:F73)/1.73</f>
        <v>3179190.7514450867</v>
      </c>
    </row>
    <row r="74" spans="1:10" x14ac:dyDescent="0.2">
      <c r="A74">
        <v>5</v>
      </c>
      <c r="B74" t="s">
        <v>31</v>
      </c>
      <c r="C74">
        <v>300</v>
      </c>
      <c r="D74">
        <v>300</v>
      </c>
      <c r="E74">
        <v>200</v>
      </c>
      <c r="F74">
        <f t="shared" si="8"/>
        <v>18000000</v>
      </c>
    </row>
    <row r="75" spans="1:10" x14ac:dyDescent="0.2">
      <c r="A75">
        <v>5</v>
      </c>
      <c r="B75" t="s">
        <v>31</v>
      </c>
      <c r="C75">
        <v>300</v>
      </c>
      <c r="D75">
        <v>300</v>
      </c>
      <c r="E75">
        <v>200</v>
      </c>
      <c r="F75">
        <f t="shared" si="8"/>
        <v>18000000</v>
      </c>
    </row>
    <row r="76" spans="1:10" x14ac:dyDescent="0.2">
      <c r="A76">
        <v>5</v>
      </c>
      <c r="B76" t="s">
        <v>31</v>
      </c>
      <c r="C76">
        <v>350</v>
      </c>
      <c r="D76">
        <v>350</v>
      </c>
      <c r="E76">
        <v>200</v>
      </c>
      <c r="F76">
        <f t="shared" si="8"/>
        <v>24500000</v>
      </c>
      <c r="G76">
        <f>AVERAGE(C74:C76)</f>
        <v>316.66666666666669</v>
      </c>
      <c r="H76">
        <f>STDEV(C74:C76)/1.73</f>
        <v>16.686423965018086</v>
      </c>
      <c r="I76">
        <f>AVERAGE(F74:F76)</f>
        <v>20166666.666666668</v>
      </c>
      <c r="J76">
        <f>STDEV(F74:F76)/1.73</f>
        <v>2169235.1154523543</v>
      </c>
    </row>
    <row r="77" spans="1:10" x14ac:dyDescent="0.2">
      <c r="A77">
        <v>15</v>
      </c>
      <c r="B77" t="s">
        <v>31</v>
      </c>
      <c r="C77">
        <v>300</v>
      </c>
      <c r="D77">
        <v>300</v>
      </c>
      <c r="E77">
        <v>150</v>
      </c>
      <c r="F77">
        <f t="shared" si="8"/>
        <v>13500000</v>
      </c>
    </row>
    <row r="78" spans="1:10" x14ac:dyDescent="0.2">
      <c r="A78">
        <v>15</v>
      </c>
      <c r="B78" t="s">
        <v>30</v>
      </c>
      <c r="C78">
        <v>350</v>
      </c>
      <c r="D78">
        <v>350</v>
      </c>
      <c r="E78">
        <v>150</v>
      </c>
      <c r="F78">
        <f t="shared" si="8"/>
        <v>18375000</v>
      </c>
    </row>
    <row r="79" spans="1:10" x14ac:dyDescent="0.2">
      <c r="A79">
        <v>15</v>
      </c>
      <c r="B79" t="s">
        <v>30</v>
      </c>
      <c r="C79">
        <v>300</v>
      </c>
      <c r="D79">
        <v>300</v>
      </c>
      <c r="E79">
        <v>100</v>
      </c>
      <c r="F79">
        <f t="shared" si="8"/>
        <v>9000000</v>
      </c>
    </row>
    <row r="80" spans="1:10" x14ac:dyDescent="0.2">
      <c r="A80">
        <v>15</v>
      </c>
      <c r="B80" t="s">
        <v>30</v>
      </c>
      <c r="C80">
        <v>300</v>
      </c>
      <c r="D80">
        <v>300</v>
      </c>
      <c r="E80">
        <v>100</v>
      </c>
      <c r="F80">
        <f t="shared" si="8"/>
        <v>9000000</v>
      </c>
    </row>
    <row r="81" spans="1:10" x14ac:dyDescent="0.2">
      <c r="A81">
        <v>15</v>
      </c>
      <c r="B81" t="s">
        <v>31</v>
      </c>
      <c r="C81">
        <v>250</v>
      </c>
      <c r="D81">
        <v>250</v>
      </c>
      <c r="E81">
        <v>150</v>
      </c>
      <c r="F81">
        <f t="shared" si="8"/>
        <v>9375000</v>
      </c>
      <c r="G81">
        <f>AVERAGE(C77:C81)</f>
        <v>300</v>
      </c>
      <c r="H81">
        <f>STDEV(C77:C81)/1.73</f>
        <v>20.436612173021604</v>
      </c>
      <c r="I81">
        <f>AVERAGE(F77:F81)</f>
        <v>11850000</v>
      </c>
      <c r="J81">
        <f>STDEV(F77:F81)/1.73</f>
        <v>2377486.0548895253</v>
      </c>
    </row>
    <row r="82" spans="1:10" x14ac:dyDescent="0.2">
      <c r="A82">
        <v>40</v>
      </c>
      <c r="B82" t="s">
        <v>31</v>
      </c>
      <c r="C82">
        <v>350</v>
      </c>
      <c r="D82">
        <v>350</v>
      </c>
      <c r="E82">
        <v>150</v>
      </c>
      <c r="F82">
        <f t="shared" si="7"/>
        <v>18375000</v>
      </c>
    </row>
    <row r="83" spans="1:10" x14ac:dyDescent="0.2">
      <c r="A83">
        <v>40</v>
      </c>
      <c r="B83" t="s">
        <v>31</v>
      </c>
      <c r="C83">
        <v>250</v>
      </c>
      <c r="D83">
        <v>250</v>
      </c>
      <c r="E83">
        <v>150</v>
      </c>
      <c r="F83">
        <f t="shared" si="7"/>
        <v>9375000</v>
      </c>
    </row>
    <row r="84" spans="1:10" x14ac:dyDescent="0.2">
      <c r="A84">
        <v>40</v>
      </c>
      <c r="B84" t="s">
        <v>31</v>
      </c>
      <c r="C84">
        <v>300</v>
      </c>
      <c r="D84">
        <v>300</v>
      </c>
      <c r="E84">
        <v>150</v>
      </c>
      <c r="F84">
        <f t="shared" si="7"/>
        <v>13500000</v>
      </c>
    </row>
    <row r="85" spans="1:10" x14ac:dyDescent="0.2">
      <c r="A85">
        <v>40</v>
      </c>
      <c r="B85" t="s">
        <v>31</v>
      </c>
      <c r="C85">
        <v>350</v>
      </c>
      <c r="D85">
        <v>350</v>
      </c>
      <c r="E85">
        <v>200</v>
      </c>
      <c r="F85">
        <f t="shared" si="7"/>
        <v>24500000</v>
      </c>
    </row>
    <row r="86" spans="1:10" x14ac:dyDescent="0.2">
      <c r="A86">
        <v>40</v>
      </c>
      <c r="B86" t="s">
        <v>31</v>
      </c>
      <c r="C86">
        <v>300</v>
      </c>
      <c r="D86">
        <v>300</v>
      </c>
      <c r="E86">
        <v>150</v>
      </c>
      <c r="F86">
        <f t="shared" si="7"/>
        <v>13500000</v>
      </c>
      <c r="G86">
        <f>AVERAGE(C82:C86)</f>
        <v>310</v>
      </c>
      <c r="H86">
        <f>STDEV(C82:C86)/1.73</f>
        <v>24.180925622372126</v>
      </c>
      <c r="I86">
        <f>AVERAGE(F82:F86)</f>
        <v>15850000</v>
      </c>
      <c r="J86">
        <f>STDEV(F82:F86)/1.73</f>
        <v>3347723.5547105353</v>
      </c>
    </row>
    <row r="89" spans="1:10" x14ac:dyDescent="0.2">
      <c r="A89" t="s">
        <v>14</v>
      </c>
      <c r="G89" t="s">
        <v>52</v>
      </c>
    </row>
    <row r="90" spans="1:10" x14ac:dyDescent="0.2">
      <c r="A90" t="s">
        <v>8</v>
      </c>
      <c r="B90" t="s">
        <v>13</v>
      </c>
      <c r="E90" t="s">
        <v>10</v>
      </c>
      <c r="F90" t="s">
        <v>11</v>
      </c>
      <c r="G90" t="s">
        <v>13</v>
      </c>
    </row>
    <row r="91" spans="1:10" x14ac:dyDescent="0.2">
      <c r="A91">
        <v>-5</v>
      </c>
      <c r="B91">
        <v>72.3</v>
      </c>
      <c r="C91">
        <v>71.599999999999994</v>
      </c>
      <c r="D91">
        <v>71.5</v>
      </c>
      <c r="E91">
        <f>AVERAGE(B91:D91)</f>
        <v>71.8</v>
      </c>
      <c r="F91">
        <f>STDEV(B91:D91)/SQRT(COUNT(B91:D91))</f>
        <v>0.25166114784235816</v>
      </c>
      <c r="G91">
        <f>E91/71.8</f>
        <v>1</v>
      </c>
      <c r="H91">
        <f>F91/71.8</f>
        <v>3.5050299142389716E-3</v>
      </c>
    </row>
    <row r="92" spans="1:10" x14ac:dyDescent="0.2">
      <c r="A92">
        <v>0</v>
      </c>
      <c r="B92">
        <v>72</v>
      </c>
      <c r="C92">
        <v>72</v>
      </c>
      <c r="D92">
        <v>72.099999999999994</v>
      </c>
      <c r="E92">
        <f>AVERAGE(B92:D92)</f>
        <v>72.033333333333331</v>
      </c>
      <c r="F92">
        <f>STDEV(B92:D92)/SQRT(COUNT(B92:D92))</f>
        <v>3.3333333333331439E-2</v>
      </c>
      <c r="G92">
        <f t="shared" ref="G92:H96" si="9">E92/71.8</f>
        <v>1.0032497678737233</v>
      </c>
      <c r="H92">
        <f t="shared" si="9"/>
        <v>4.642525533890173E-4</v>
      </c>
    </row>
    <row r="93" spans="1:10" x14ac:dyDescent="0.2">
      <c r="A93">
        <v>5</v>
      </c>
      <c r="B93">
        <v>72.2</v>
      </c>
      <c r="C93">
        <v>72.2</v>
      </c>
      <c r="D93">
        <v>72.3</v>
      </c>
      <c r="E93">
        <f t="shared" ref="E93:E95" si="10">AVERAGE(B93:D93)</f>
        <v>72.233333333333334</v>
      </c>
      <c r="F93">
        <f>STDEV(B93:D93)/SQRT(COUNT(B93:D93))</f>
        <v>3.3333333333331439E-2</v>
      </c>
      <c r="G93">
        <f t="shared" si="9"/>
        <v>1.0060352831940576</v>
      </c>
      <c r="H93">
        <f t="shared" si="9"/>
        <v>4.642525533890173E-4</v>
      </c>
    </row>
    <row r="94" spans="1:10" x14ac:dyDescent="0.2">
      <c r="A94">
        <v>15</v>
      </c>
      <c r="B94">
        <v>72.2</v>
      </c>
      <c r="C94">
        <v>72.2</v>
      </c>
      <c r="D94">
        <v>72.3</v>
      </c>
      <c r="E94">
        <f t="shared" si="10"/>
        <v>72.233333333333334</v>
      </c>
      <c r="F94">
        <f>STDEV(B94:D94)/SQRT(COUNT(B94:D94))</f>
        <v>3.3333333333331439E-2</v>
      </c>
      <c r="G94">
        <f t="shared" si="9"/>
        <v>1.0060352831940576</v>
      </c>
      <c r="H94">
        <f t="shared" si="9"/>
        <v>4.642525533890173E-4</v>
      </c>
    </row>
    <row r="95" spans="1:10" x14ac:dyDescent="0.2">
      <c r="A95">
        <v>45</v>
      </c>
      <c r="B95">
        <v>72.3</v>
      </c>
      <c r="C95">
        <v>72.3</v>
      </c>
      <c r="D95">
        <v>72.3</v>
      </c>
      <c r="E95">
        <f t="shared" si="10"/>
        <v>72.3</v>
      </c>
      <c r="F95">
        <f>STDEV(B95:D95)/SQRT(COUNT(B95:D95))</f>
        <v>0</v>
      </c>
      <c r="G95">
        <f t="shared" si="9"/>
        <v>1.0069637883008355</v>
      </c>
      <c r="H95">
        <f t="shared" si="9"/>
        <v>0</v>
      </c>
    </row>
    <row r="96" spans="1:10" x14ac:dyDescent="0.2">
      <c r="A96">
        <v>180</v>
      </c>
      <c r="B96">
        <v>72.2</v>
      </c>
      <c r="E96">
        <f t="shared" ref="E96" si="11">AVERAGE(B96:D96)</f>
        <v>72.2</v>
      </c>
      <c r="F96">
        <v>0</v>
      </c>
      <c r="G96">
        <f t="shared" si="9"/>
        <v>1.0055710306406687</v>
      </c>
      <c r="H96">
        <f t="shared" si="9"/>
        <v>0</v>
      </c>
    </row>
    <row r="98" spans="1:8" x14ac:dyDescent="0.2">
      <c r="A98" t="s">
        <v>8</v>
      </c>
      <c r="B98" t="s">
        <v>22</v>
      </c>
      <c r="E98" t="s">
        <v>10</v>
      </c>
      <c r="F98" t="s">
        <v>11</v>
      </c>
      <c r="G98" t="s">
        <v>22</v>
      </c>
    </row>
    <row r="99" spans="1:8" x14ac:dyDescent="0.2">
      <c r="A99">
        <v>-5</v>
      </c>
      <c r="B99">
        <v>104.7</v>
      </c>
      <c r="C99">
        <v>104.4</v>
      </c>
      <c r="D99">
        <v>104.5</v>
      </c>
      <c r="E99">
        <f>AVERAGE(B99:D99)</f>
        <v>104.53333333333335</v>
      </c>
      <c r="F99">
        <f>STDEV(B99:D99)/SQRT(COUNT(B99:D99))</f>
        <v>8.8191710368819162E-2</v>
      </c>
      <c r="G99">
        <f>E99/104.53333</f>
        <v>1.0000000318877562</v>
      </c>
      <c r="H99">
        <f t="shared" ref="G99:H104" si="12">F99/104.53333</f>
        <v>8.4367072558407116E-4</v>
      </c>
    </row>
    <row r="100" spans="1:8" x14ac:dyDescent="0.2">
      <c r="A100">
        <v>0</v>
      </c>
      <c r="B100">
        <v>104.7</v>
      </c>
      <c r="C100">
        <v>104.7</v>
      </c>
      <c r="D100">
        <v>104.8</v>
      </c>
      <c r="E100">
        <f>AVERAGE(B100:D100)</f>
        <v>104.73333333333333</v>
      </c>
      <c r="F100">
        <f>STDEV(B100:D100)/SQRT(COUNT(B100:D100))</f>
        <v>3.3333333333331439E-2</v>
      </c>
      <c r="G100">
        <f t="shared" si="12"/>
        <v>1.0019132972548883</v>
      </c>
      <c r="H100">
        <f t="shared" si="12"/>
        <v>3.1887756118867958E-4</v>
      </c>
    </row>
    <row r="101" spans="1:8" x14ac:dyDescent="0.2">
      <c r="A101">
        <v>5</v>
      </c>
      <c r="B101">
        <v>105</v>
      </c>
      <c r="C101">
        <v>104.9</v>
      </c>
      <c r="D101">
        <v>105.1</v>
      </c>
      <c r="E101">
        <f t="shared" ref="E101:E104" si="13">AVERAGE(B101:D101)</f>
        <v>105</v>
      </c>
      <c r="F101">
        <f>STDEV(B101:D101)/SQRT(COUNT(B101:D101))</f>
        <v>5.7735026918959299E-2</v>
      </c>
      <c r="G101">
        <f t="shared" si="12"/>
        <v>1.0044643177443979</v>
      </c>
      <c r="H101">
        <f t="shared" si="12"/>
        <v>5.5231213737244665E-4</v>
      </c>
    </row>
    <row r="102" spans="1:8" x14ac:dyDescent="0.2">
      <c r="A102">
        <v>15</v>
      </c>
      <c r="B102">
        <v>105</v>
      </c>
      <c r="C102">
        <v>104.9</v>
      </c>
      <c r="D102">
        <v>105</v>
      </c>
      <c r="E102">
        <f t="shared" si="13"/>
        <v>104.96666666666665</v>
      </c>
      <c r="F102">
        <f>STDEV(B102:D102)/SQRT(COUNT(B102:D102))</f>
        <v>3.3333333333331439E-2</v>
      </c>
      <c r="G102">
        <f t="shared" si="12"/>
        <v>1.0041454401832091</v>
      </c>
      <c r="H102">
        <f t="shared" si="12"/>
        <v>3.1887756118867958E-4</v>
      </c>
    </row>
    <row r="103" spans="1:8" x14ac:dyDescent="0.2">
      <c r="A103">
        <v>45</v>
      </c>
      <c r="B103">
        <v>105.1</v>
      </c>
      <c r="C103">
        <v>105.1</v>
      </c>
      <c r="D103">
        <v>105</v>
      </c>
      <c r="E103">
        <f t="shared" si="13"/>
        <v>105.06666666666666</v>
      </c>
      <c r="F103">
        <f>STDEV(B103:D103)/SQRT(COUNT(B103:D103))</f>
        <v>3.3333333333331439E-2</v>
      </c>
      <c r="G103">
        <f t="shared" si="12"/>
        <v>1.0051020728667752</v>
      </c>
      <c r="H103">
        <f t="shared" si="12"/>
        <v>3.1887756118867958E-4</v>
      </c>
    </row>
    <row r="104" spans="1:8" x14ac:dyDescent="0.2">
      <c r="A104">
        <v>180</v>
      </c>
      <c r="B104">
        <v>104.9</v>
      </c>
      <c r="E104">
        <f t="shared" si="13"/>
        <v>104.9</v>
      </c>
      <c r="F104">
        <v>0</v>
      </c>
      <c r="G104">
        <f t="shared" si="12"/>
        <v>1.0035076850608318</v>
      </c>
      <c r="H104">
        <f t="shared" si="12"/>
        <v>0</v>
      </c>
    </row>
    <row r="106" spans="1:8" x14ac:dyDescent="0.2">
      <c r="A106" t="s">
        <v>8</v>
      </c>
      <c r="B106" t="s">
        <v>23</v>
      </c>
      <c r="E106" t="s">
        <v>10</v>
      </c>
      <c r="F106" t="s">
        <v>11</v>
      </c>
      <c r="G106" t="s">
        <v>23</v>
      </c>
    </row>
    <row r="107" spans="1:8" x14ac:dyDescent="0.2">
      <c r="A107">
        <v>-5</v>
      </c>
      <c r="B107">
        <v>117.3</v>
      </c>
      <c r="C107">
        <v>117.2</v>
      </c>
      <c r="D107">
        <v>117.3</v>
      </c>
      <c r="E107">
        <f>AVERAGE(B107:D107)</f>
        <v>117.26666666666667</v>
      </c>
      <c r="F107">
        <f>STDEV(B107:D107)/SQRT(COUNT(B107:D107))</f>
        <v>3.3333333333331439E-2</v>
      </c>
      <c r="G107">
        <f>E107/117.266666</f>
        <v>1.0000000056850484</v>
      </c>
      <c r="H107">
        <f>F107/117.266666</f>
        <v>2.8425241776150982E-4</v>
      </c>
    </row>
    <row r="108" spans="1:8" x14ac:dyDescent="0.2">
      <c r="A108">
        <v>0</v>
      </c>
      <c r="B108">
        <v>117.8</v>
      </c>
      <c r="C108">
        <v>117.7</v>
      </c>
      <c r="D108">
        <v>117.7</v>
      </c>
      <c r="E108">
        <f>AVERAGE(B108:D108)</f>
        <v>117.73333333333333</v>
      </c>
      <c r="F108">
        <f>STDEV(B108:D108)/SQRT(COUNT(B108:D108))</f>
        <v>3.3333333333331439E-2</v>
      </c>
      <c r="G108">
        <f t="shared" ref="G108:H112" si="14">E108/117.266666</f>
        <v>1.0039795395337097</v>
      </c>
      <c r="H108">
        <f t="shared" si="14"/>
        <v>2.8425241776150982E-4</v>
      </c>
    </row>
    <row r="109" spans="1:8" x14ac:dyDescent="0.2">
      <c r="A109">
        <v>5</v>
      </c>
      <c r="B109">
        <v>118.1</v>
      </c>
      <c r="C109">
        <v>117.8</v>
      </c>
      <c r="D109">
        <v>118</v>
      </c>
      <c r="E109">
        <f t="shared" ref="E109:E112" si="15">AVERAGE(B109:D109)</f>
        <v>117.96666666666665</v>
      </c>
      <c r="F109">
        <f>STDEV(B109:D109)/SQRT(COUNT(B109:D109))</f>
        <v>8.8191710368819162E-2</v>
      </c>
      <c r="G109">
        <f t="shared" si="14"/>
        <v>1.0059693064580404</v>
      </c>
      <c r="H109">
        <f t="shared" si="14"/>
        <v>7.5206120696583254E-4</v>
      </c>
    </row>
    <row r="110" spans="1:8" x14ac:dyDescent="0.2">
      <c r="A110">
        <v>15</v>
      </c>
      <c r="B110">
        <v>118.1</v>
      </c>
      <c r="C110">
        <v>118.1</v>
      </c>
      <c r="D110">
        <v>118</v>
      </c>
      <c r="E110">
        <f t="shared" si="15"/>
        <v>118.06666666666666</v>
      </c>
      <c r="F110">
        <f>STDEV(B110:D110)/SQRT(COUNT(B110:D110))</f>
        <v>3.3333333333331439E-2</v>
      </c>
      <c r="G110">
        <f t="shared" si="14"/>
        <v>1.006822063711325</v>
      </c>
      <c r="H110">
        <f t="shared" si="14"/>
        <v>2.8425241776150982E-4</v>
      </c>
    </row>
    <row r="111" spans="1:8" x14ac:dyDescent="0.2">
      <c r="A111">
        <v>45</v>
      </c>
      <c r="B111">
        <v>118.2</v>
      </c>
      <c r="C111">
        <v>118.2</v>
      </c>
      <c r="D111">
        <v>118.1</v>
      </c>
      <c r="E111">
        <f t="shared" si="15"/>
        <v>118.16666666666667</v>
      </c>
      <c r="F111">
        <f>STDEV(B111:D111)/SQRT(COUNT(B111:D111))</f>
        <v>3.3333333333336178E-2</v>
      </c>
      <c r="G111">
        <f t="shared" si="14"/>
        <v>1.0076748209646096</v>
      </c>
      <c r="H111">
        <f t="shared" si="14"/>
        <v>2.8425241776155021E-4</v>
      </c>
    </row>
    <row r="112" spans="1:8" x14ac:dyDescent="0.2">
      <c r="A112">
        <v>180</v>
      </c>
      <c r="B112">
        <v>118.1</v>
      </c>
      <c r="E112">
        <f t="shared" si="15"/>
        <v>118.1</v>
      </c>
      <c r="F112">
        <v>0</v>
      </c>
      <c r="G112">
        <f t="shared" si="14"/>
        <v>1.0071063161290865</v>
      </c>
      <c r="H112">
        <f t="shared" si="14"/>
        <v>0</v>
      </c>
    </row>
    <row r="114" spans="1:10" x14ac:dyDescent="0.2">
      <c r="A114" t="s">
        <v>6</v>
      </c>
    </row>
    <row r="115" spans="1:10" x14ac:dyDescent="0.2">
      <c r="I115" t="s">
        <v>52</v>
      </c>
    </row>
    <row r="116" spans="1:10" x14ac:dyDescent="0.2">
      <c r="A116" t="s">
        <v>8</v>
      </c>
      <c r="B116" t="s">
        <v>13</v>
      </c>
      <c r="G116" t="s">
        <v>10</v>
      </c>
      <c r="H116" t="s">
        <v>11</v>
      </c>
    </row>
    <row r="117" spans="1:10" x14ac:dyDescent="0.2">
      <c r="A117">
        <v>-5</v>
      </c>
      <c r="B117">
        <v>79.2</v>
      </c>
      <c r="C117">
        <v>79.099999999999994</v>
      </c>
      <c r="D117">
        <v>79.2</v>
      </c>
      <c r="E117">
        <v>79.2</v>
      </c>
      <c r="G117">
        <f>AVERAGE(B117:F117)</f>
        <v>79.174999999999997</v>
      </c>
      <c r="H117">
        <f>STDEV(B117:F117)/SQRT(COUNT(B117:F117))</f>
        <v>2.5000000000002132E-2</v>
      </c>
      <c r="I117">
        <f>G117/79.175</f>
        <v>1</v>
      </c>
      <c r="J117">
        <f>H117/79.175</f>
        <v>3.157562361856916E-4</v>
      </c>
    </row>
    <row r="118" spans="1:10" x14ac:dyDescent="0.2">
      <c r="A118">
        <v>0</v>
      </c>
      <c r="B118">
        <v>79.3</v>
      </c>
      <c r="C118">
        <v>79.2</v>
      </c>
      <c r="D118">
        <v>79.099999999999994</v>
      </c>
      <c r="E118">
        <v>79.2</v>
      </c>
      <c r="G118">
        <f>AVERAGE(B118:F118)</f>
        <v>79.2</v>
      </c>
      <c r="H118">
        <f>STDEV(B118:F118)/SQRT(COUNT(B118:F118))</f>
        <v>4.082482904638688E-2</v>
      </c>
      <c r="I118">
        <f t="shared" ref="I118:J121" si="16">G118/79.175</f>
        <v>1.0003157562361857</v>
      </c>
      <c r="J118">
        <f t="shared" si="16"/>
        <v>5.1562777450441281E-4</v>
      </c>
    </row>
    <row r="119" spans="1:10" x14ac:dyDescent="0.2">
      <c r="A119">
        <v>5</v>
      </c>
      <c r="B119">
        <v>79.099999999999994</v>
      </c>
      <c r="C119">
        <v>79.099999999999994</v>
      </c>
      <c r="D119">
        <v>79.099999999999994</v>
      </c>
      <c r="G119">
        <f t="shared" ref="G119:G121" si="17">AVERAGE(B119:F119)</f>
        <v>79.099999999999994</v>
      </c>
      <c r="H119">
        <f t="shared" ref="H119:H121" si="18">STDEV(B119:F119)/SQRT(COUNT(B119:F119))</f>
        <v>0</v>
      </c>
      <c r="I119">
        <f t="shared" si="16"/>
        <v>0.99905273129144301</v>
      </c>
      <c r="J119">
        <f t="shared" si="16"/>
        <v>0</v>
      </c>
    </row>
    <row r="120" spans="1:10" x14ac:dyDescent="0.2">
      <c r="A120">
        <v>15</v>
      </c>
      <c r="B120">
        <v>79.099999999999994</v>
      </c>
      <c r="C120">
        <v>79.2</v>
      </c>
      <c r="D120">
        <v>79.099999999999994</v>
      </c>
      <c r="E120">
        <v>79.099999999999994</v>
      </c>
      <c r="F120">
        <v>79</v>
      </c>
      <c r="G120">
        <f t="shared" si="17"/>
        <v>79.099999999999994</v>
      </c>
      <c r="H120">
        <f t="shared" si="18"/>
        <v>3.1622776601684242E-2</v>
      </c>
      <c r="I120">
        <f t="shared" si="16"/>
        <v>0.99905273129144301</v>
      </c>
      <c r="J120">
        <f t="shared" si="16"/>
        <v>3.9940355669951683E-4</v>
      </c>
    </row>
    <row r="121" spans="1:10" x14ac:dyDescent="0.2">
      <c r="A121">
        <v>40</v>
      </c>
      <c r="B121">
        <v>79.2</v>
      </c>
      <c r="C121">
        <v>79.2</v>
      </c>
      <c r="D121">
        <v>79</v>
      </c>
      <c r="E121">
        <v>79.099999999999994</v>
      </c>
      <c r="F121">
        <v>79.2</v>
      </c>
      <c r="G121">
        <f t="shared" si="17"/>
        <v>79.14</v>
      </c>
      <c r="H121">
        <f t="shared" si="18"/>
        <v>4.0000000000000924E-2</v>
      </c>
      <c r="I121">
        <f t="shared" si="16"/>
        <v>0.99955794126934017</v>
      </c>
      <c r="J121">
        <f t="shared" si="16"/>
        <v>5.0520997789707512E-4</v>
      </c>
    </row>
    <row r="123" spans="1:10" x14ac:dyDescent="0.2">
      <c r="A123" t="s">
        <v>8</v>
      </c>
      <c r="B123" t="s">
        <v>23</v>
      </c>
      <c r="G123" t="s">
        <v>10</v>
      </c>
      <c r="H123" t="s">
        <v>11</v>
      </c>
    </row>
    <row r="124" spans="1:10" x14ac:dyDescent="0.2">
      <c r="A124">
        <v>-5</v>
      </c>
      <c r="B124">
        <v>38</v>
      </c>
      <c r="C124">
        <v>37.9</v>
      </c>
      <c r="D124">
        <v>38</v>
      </c>
      <c r="E124">
        <v>38.1</v>
      </c>
      <c r="G124">
        <f>AVERAGE(B124:F124)</f>
        <v>38</v>
      </c>
      <c r="H124">
        <f>STDEV(B124:F124)/SQRT(COUNT(B124:F124))</f>
        <v>4.082482904638688E-2</v>
      </c>
      <c r="I124">
        <f>G124/38</f>
        <v>1</v>
      </c>
      <c r="J124">
        <f>H124/38</f>
        <v>1.0743376064838654E-3</v>
      </c>
    </row>
    <row r="125" spans="1:10" x14ac:dyDescent="0.2">
      <c r="A125">
        <v>0</v>
      </c>
      <c r="B125">
        <v>38</v>
      </c>
      <c r="C125">
        <v>37.9</v>
      </c>
      <c r="D125">
        <v>38</v>
      </c>
      <c r="E125">
        <v>38</v>
      </c>
      <c r="G125">
        <f>AVERAGE(B125:F125)</f>
        <v>37.975000000000001</v>
      </c>
      <c r="H125">
        <f>STDEV(B125:F125)/SQRT(COUNT(B125:F125))</f>
        <v>2.5000000000000359E-2</v>
      </c>
      <c r="I125">
        <f t="shared" ref="I125:J128" si="19">G125/38</f>
        <v>0.99934210526315792</v>
      </c>
      <c r="J125">
        <f t="shared" si="19"/>
        <v>6.5789473684211468E-4</v>
      </c>
    </row>
    <row r="126" spans="1:10" x14ac:dyDescent="0.2">
      <c r="A126">
        <v>5</v>
      </c>
      <c r="B126">
        <v>38.1</v>
      </c>
      <c r="C126">
        <v>38.1</v>
      </c>
      <c r="D126">
        <v>38.1</v>
      </c>
      <c r="G126">
        <f t="shared" ref="G126:G128" si="20">AVERAGE(B126:F126)</f>
        <v>38.1</v>
      </c>
      <c r="H126">
        <f t="shared" ref="H126:H128" si="21">STDEV(B126:F126)/SQRT(COUNT(B126:F126))</f>
        <v>0</v>
      </c>
      <c r="I126">
        <f t="shared" si="19"/>
        <v>1.0026315789473685</v>
      </c>
      <c r="J126">
        <f t="shared" si="19"/>
        <v>0</v>
      </c>
    </row>
    <row r="127" spans="1:10" x14ac:dyDescent="0.2">
      <c r="A127">
        <v>15</v>
      </c>
      <c r="B127">
        <v>38</v>
      </c>
      <c r="C127">
        <v>38</v>
      </c>
      <c r="D127">
        <v>38.1</v>
      </c>
      <c r="E127">
        <v>38.1</v>
      </c>
      <c r="F127">
        <v>38.1</v>
      </c>
      <c r="G127">
        <f t="shared" si="20"/>
        <v>38.059999999999995</v>
      </c>
      <c r="H127">
        <f t="shared" si="21"/>
        <v>2.4494897427832129E-2</v>
      </c>
      <c r="I127">
        <f t="shared" si="19"/>
        <v>1.0015789473684209</v>
      </c>
      <c r="J127">
        <f t="shared" si="19"/>
        <v>6.4460256389031918E-4</v>
      </c>
    </row>
    <row r="128" spans="1:10" x14ac:dyDescent="0.2">
      <c r="A128">
        <v>40</v>
      </c>
      <c r="B128">
        <v>38</v>
      </c>
      <c r="C128">
        <v>38.200000000000003</v>
      </c>
      <c r="D128">
        <v>38.1</v>
      </c>
      <c r="E128">
        <v>38.1</v>
      </c>
      <c r="F128">
        <v>38</v>
      </c>
      <c r="G128">
        <f t="shared" si="20"/>
        <v>38.08</v>
      </c>
      <c r="H128">
        <f t="shared" si="21"/>
        <v>3.7416573867739944E-2</v>
      </c>
      <c r="I128">
        <f t="shared" si="19"/>
        <v>1.0021052631578946</v>
      </c>
      <c r="J128">
        <f t="shared" si="19"/>
        <v>9.8464668072999846E-4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6F00-8929-FF44-B768-85BFB97C3B86}">
  <dimension ref="A1:J168"/>
  <sheetViews>
    <sheetView zoomScale="102" workbookViewId="0">
      <selection activeCell="G12" sqref="G1:G1048576"/>
    </sheetView>
  </sheetViews>
  <sheetFormatPr baseColWidth="10" defaultRowHeight="16" x14ac:dyDescent="0.2"/>
  <cols>
    <col min="7" max="7" width="10.83203125" style="1"/>
    <col min="8" max="8" width="12.6640625" style="1" bestFit="1" customWidth="1"/>
  </cols>
  <sheetData>
    <row r="1" spans="1:8" x14ac:dyDescent="0.2">
      <c r="A1" t="s">
        <v>9</v>
      </c>
    </row>
    <row r="2" spans="1:8" x14ac:dyDescent="0.2">
      <c r="A2" t="s">
        <v>8</v>
      </c>
      <c r="B2" t="s">
        <v>1</v>
      </c>
      <c r="G2" s="1" t="s">
        <v>10</v>
      </c>
      <c r="H2" s="1" t="s">
        <v>15</v>
      </c>
    </row>
    <row r="3" spans="1:8" x14ac:dyDescent="0.2">
      <c r="A3">
        <v>-5</v>
      </c>
      <c r="B3">
        <v>0.6</v>
      </c>
      <c r="C3">
        <v>0.55000000000000004</v>
      </c>
      <c r="D3">
        <v>0.55000000000000004</v>
      </c>
      <c r="G3" s="1">
        <f>AVERAGE(B3:D3)</f>
        <v>0.56666666666666665</v>
      </c>
      <c r="H3" s="1">
        <f>STDEV(B3:D3)/SQRT(COUNT(B3:D3))</f>
        <v>1.6666666666666646E-2</v>
      </c>
    </row>
    <row r="4" spans="1:8" x14ac:dyDescent="0.2">
      <c r="A4">
        <v>0</v>
      </c>
      <c r="B4">
        <v>4.38</v>
      </c>
      <c r="C4">
        <v>2.5</v>
      </c>
      <c r="D4">
        <v>2.36</v>
      </c>
      <c r="G4" s="1">
        <f>AVERAGE(B4:D4)</f>
        <v>3.08</v>
      </c>
      <c r="H4" s="1">
        <f>STDEV(B4:D4)/SQRT(COUNT(B4:D4))</f>
        <v>0.6512551983157856</v>
      </c>
    </row>
    <row r="5" spans="1:8" x14ac:dyDescent="0.2">
      <c r="A5">
        <v>5</v>
      </c>
      <c r="B5">
        <v>0.69</v>
      </c>
      <c r="C5">
        <v>0.54</v>
      </c>
      <c r="D5">
        <v>1.18</v>
      </c>
      <c r="G5" s="1">
        <f>AVERAGE(B5:D5)</f>
        <v>0.80333333333333334</v>
      </c>
      <c r="H5" s="1">
        <f>STDEV(B5:D5)/SQRT(COUNT(B5:D5))</f>
        <v>0.19324710720847649</v>
      </c>
    </row>
    <row r="6" spans="1:8" x14ac:dyDescent="0.2">
      <c r="A6">
        <v>15</v>
      </c>
      <c r="B6">
        <v>0.79</v>
      </c>
      <c r="C6">
        <v>0.62</v>
      </c>
      <c r="D6">
        <v>0.5</v>
      </c>
      <c r="G6" s="1">
        <f>AVERAGE(B6:D6)</f>
        <v>0.63666666666666671</v>
      </c>
      <c r="H6" s="1">
        <f>STDEV(B6:D6)/SQRT(COUNT(B6:D6))</f>
        <v>8.412952976082641E-2</v>
      </c>
    </row>
    <row r="7" spans="1:8" x14ac:dyDescent="0.2">
      <c r="A7">
        <v>40</v>
      </c>
      <c r="B7">
        <v>0.5</v>
      </c>
      <c r="C7">
        <v>0.53</v>
      </c>
      <c r="D7">
        <v>0.53</v>
      </c>
      <c r="G7" s="1">
        <f>AVERAGE(B7:D7)</f>
        <v>0.52</v>
      </c>
      <c r="H7" s="1">
        <f>STDEV(B7:D7)/SQRT(COUNT(B7:D7))</f>
        <v>1.0000000000000009E-2</v>
      </c>
    </row>
    <row r="8" spans="1:8" x14ac:dyDescent="0.2">
      <c r="A8">
        <v>180</v>
      </c>
      <c r="B8">
        <v>0.59</v>
      </c>
      <c r="G8" s="1">
        <v>0.59</v>
      </c>
    </row>
    <row r="12" spans="1:8" x14ac:dyDescent="0.2">
      <c r="A12" t="s">
        <v>12</v>
      </c>
    </row>
    <row r="13" spans="1:8" x14ac:dyDescent="0.2">
      <c r="A13" t="s">
        <v>8</v>
      </c>
      <c r="B13" t="s">
        <v>1</v>
      </c>
      <c r="G13" s="1" t="s">
        <v>10</v>
      </c>
      <c r="H13" s="1" t="s">
        <v>15</v>
      </c>
    </row>
    <row r="14" spans="1:8" x14ac:dyDescent="0.2">
      <c r="A14">
        <v>-5</v>
      </c>
      <c r="B14">
        <v>0.51</v>
      </c>
      <c r="C14">
        <v>0.5</v>
      </c>
      <c r="D14">
        <v>0.51</v>
      </c>
      <c r="G14" s="1">
        <f>AVERAGE(B14:F14)</f>
        <v>0.50666666666666671</v>
      </c>
      <c r="H14" s="1">
        <f>STDEV(B14:F14)/SQRT(COUNT(B14:F14))</f>
        <v>3.3333333333333361E-3</v>
      </c>
    </row>
    <row r="15" spans="1:8" x14ac:dyDescent="0.2">
      <c r="A15">
        <v>0</v>
      </c>
      <c r="B15">
        <v>0.51</v>
      </c>
      <c r="C15">
        <v>0.51</v>
      </c>
      <c r="D15">
        <v>0.49</v>
      </c>
      <c r="G15" s="1">
        <f>AVERAGE(B15:F15)</f>
        <v>0.5033333333333333</v>
      </c>
      <c r="H15" s="1">
        <f>STDEV(B15:F15)/SQRT(COUNT(B15:F15))</f>
        <v>6.6666666666666723E-3</v>
      </c>
    </row>
    <row r="16" spans="1:8" x14ac:dyDescent="0.2">
      <c r="A16">
        <v>5</v>
      </c>
      <c r="B16">
        <v>0.5</v>
      </c>
      <c r="C16">
        <v>0.54</v>
      </c>
      <c r="D16">
        <v>0.49</v>
      </c>
      <c r="G16" s="1">
        <f t="shared" ref="G16:G18" si="0">AVERAGE(B16:F16)</f>
        <v>0.51</v>
      </c>
      <c r="H16" s="1">
        <f t="shared" ref="H16:H18" si="1">STDEV(B16:F16)/SQRT(COUNT(B16:F16))</f>
        <v>1.527525231651948E-2</v>
      </c>
    </row>
    <row r="17" spans="1:8" x14ac:dyDescent="0.2">
      <c r="A17">
        <v>15</v>
      </c>
      <c r="B17">
        <v>0.5</v>
      </c>
      <c r="C17">
        <v>0.51</v>
      </c>
      <c r="D17">
        <v>0.49</v>
      </c>
      <c r="G17" s="1">
        <f t="shared" si="0"/>
        <v>0.5</v>
      </c>
      <c r="H17" s="1">
        <f t="shared" si="1"/>
        <v>5.7735026918962632E-3</v>
      </c>
    </row>
    <row r="18" spans="1:8" x14ac:dyDescent="0.2">
      <c r="A18">
        <v>40</v>
      </c>
      <c r="B18">
        <v>0.5</v>
      </c>
      <c r="C18">
        <v>0.48</v>
      </c>
      <c r="D18">
        <v>0.5</v>
      </c>
      <c r="G18" s="1">
        <f t="shared" si="0"/>
        <v>0.49333333333333335</v>
      </c>
      <c r="H18" s="1">
        <f t="shared" si="1"/>
        <v>6.6666666666666732E-3</v>
      </c>
    </row>
    <row r="21" spans="1:8" x14ac:dyDescent="0.2">
      <c r="A21" t="s">
        <v>16</v>
      </c>
    </row>
    <row r="22" spans="1:8" x14ac:dyDescent="0.2">
      <c r="A22" t="s">
        <v>8</v>
      </c>
      <c r="B22" t="s">
        <v>1</v>
      </c>
      <c r="G22" s="1" t="s">
        <v>10</v>
      </c>
      <c r="H22" s="1" t="s">
        <v>15</v>
      </c>
    </row>
    <row r="23" spans="1:8" x14ac:dyDescent="0.2">
      <c r="A23">
        <v>-5</v>
      </c>
      <c r="B23">
        <v>0.45</v>
      </c>
      <c r="C23">
        <v>0.45</v>
      </c>
      <c r="D23">
        <v>0.47</v>
      </c>
      <c r="G23" s="1">
        <f>AVERAGE(B23:F23)</f>
        <v>0.45666666666666672</v>
      </c>
      <c r="H23" s="1">
        <f>STDEV(B23:F23)/SQRT(COUNT(B23:F23))</f>
        <v>6.6666666666666541E-3</v>
      </c>
    </row>
    <row r="24" spans="1:8" x14ac:dyDescent="0.2">
      <c r="A24">
        <v>0</v>
      </c>
      <c r="B24">
        <v>0.51</v>
      </c>
      <c r="C24">
        <v>0.51</v>
      </c>
      <c r="D24">
        <v>0.49</v>
      </c>
      <c r="G24" s="1">
        <f>AVERAGE(B24:F24)</f>
        <v>0.5033333333333333</v>
      </c>
      <c r="H24" s="1">
        <f>STDEV(B24:F24)/SQRT(COUNT(B24:F24))</f>
        <v>6.6666666666666723E-3</v>
      </c>
    </row>
    <row r="25" spans="1:8" x14ac:dyDescent="0.2">
      <c r="A25">
        <v>5</v>
      </c>
      <c r="B25">
        <v>0.45</v>
      </c>
      <c r="C25">
        <v>0.46</v>
      </c>
      <c r="D25">
        <v>0.45</v>
      </c>
      <c r="G25" s="1">
        <f t="shared" ref="G25:G26" si="2">AVERAGE(B25:F25)</f>
        <v>0.45333333333333337</v>
      </c>
      <c r="H25" s="1">
        <f t="shared" ref="H25:H26" si="3">STDEV(B25:F25)/SQRT(COUNT(B25:F25))</f>
        <v>3.3333333333333361E-3</v>
      </c>
    </row>
    <row r="26" spans="1:8" x14ac:dyDescent="0.2">
      <c r="A26">
        <v>15</v>
      </c>
      <c r="B26">
        <v>0.52</v>
      </c>
      <c r="C26">
        <v>0.44</v>
      </c>
      <c r="D26">
        <v>0.44</v>
      </c>
      <c r="F26">
        <v>0.63</v>
      </c>
      <c r="G26" s="1">
        <f t="shared" si="2"/>
        <v>0.50749999999999995</v>
      </c>
      <c r="H26" s="1">
        <f t="shared" si="3"/>
        <v>4.4976845895045699E-2</v>
      </c>
    </row>
    <row r="27" spans="1:8" x14ac:dyDescent="0.2">
      <c r="A27">
        <v>40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</row>
    <row r="32" spans="1:8" x14ac:dyDescent="0.2">
      <c r="A32" t="s">
        <v>9</v>
      </c>
    </row>
    <row r="33" spans="1:8" x14ac:dyDescent="0.2">
      <c r="A33" t="s">
        <v>8</v>
      </c>
      <c r="B33" t="s">
        <v>19</v>
      </c>
      <c r="G33" s="1" t="s">
        <v>10</v>
      </c>
      <c r="H33" s="1" t="s">
        <v>15</v>
      </c>
    </row>
    <row r="34" spans="1:8" x14ac:dyDescent="0.2">
      <c r="A34">
        <v>-5</v>
      </c>
      <c r="B34">
        <v>0.6</v>
      </c>
      <c r="C34">
        <v>0.6</v>
      </c>
      <c r="D34">
        <v>0.8</v>
      </c>
      <c r="G34" s="1">
        <f>AVERAGE(B34:D34)</f>
        <v>0.66666666666666663</v>
      </c>
      <c r="H34" s="1">
        <f>STDEV(B34:D34)/SQRT(COUNT(B34:D34))</f>
        <v>6.6666666666666888E-2</v>
      </c>
    </row>
    <row r="35" spans="1:8" x14ac:dyDescent="0.2">
      <c r="A35">
        <v>0</v>
      </c>
      <c r="B35">
        <v>0.1</v>
      </c>
      <c r="C35">
        <v>0.1</v>
      </c>
      <c r="D35">
        <v>0.1</v>
      </c>
      <c r="G35" s="1">
        <f>AVERAGE(B35:D35)</f>
        <v>0.10000000000000002</v>
      </c>
      <c r="H35" s="1">
        <f>STDEV(B35:D35)/SQRT(COUNT(B35:D35))</f>
        <v>9.8130778667735933E-18</v>
      </c>
    </row>
    <row r="36" spans="1:8" x14ac:dyDescent="0.2">
      <c r="A36">
        <v>5</v>
      </c>
      <c r="B36">
        <v>0.4</v>
      </c>
      <c r="C36">
        <v>0.7</v>
      </c>
      <c r="D36">
        <v>0.5</v>
      </c>
      <c r="G36" s="1">
        <f>AVERAGE(B36:D36)</f>
        <v>0.53333333333333333</v>
      </c>
      <c r="H36" s="1">
        <f>STDEV(B36:D36)/SQRT(COUNT(B36:D36))</f>
        <v>8.8191710368819454E-2</v>
      </c>
    </row>
    <row r="37" spans="1:8" x14ac:dyDescent="0.2">
      <c r="A37">
        <v>15</v>
      </c>
      <c r="B37">
        <v>0.5</v>
      </c>
      <c r="C37">
        <v>0.4</v>
      </c>
      <c r="D37">
        <v>0.4</v>
      </c>
      <c r="G37" s="1">
        <f>AVERAGE(B37:D37)</f>
        <v>0.43333333333333335</v>
      </c>
      <c r="H37" s="1">
        <f>STDEV(B37:D37)/SQRT(COUNT(B37:D37))</f>
        <v>3.3333333333333444E-2</v>
      </c>
    </row>
    <row r="38" spans="1:8" x14ac:dyDescent="0.2">
      <c r="A38">
        <v>40</v>
      </c>
      <c r="B38">
        <v>1.5</v>
      </c>
      <c r="C38">
        <v>1</v>
      </c>
      <c r="D38">
        <v>1.5</v>
      </c>
      <c r="G38" s="1">
        <f>AVERAGE(B38:D38)</f>
        <v>1.3333333333333333</v>
      </c>
      <c r="H38" s="1">
        <f>STDEV(B38:D38)/SQRT(COUNT(B38:D38))</f>
        <v>0.16666666666666682</v>
      </c>
    </row>
    <row r="39" spans="1:8" x14ac:dyDescent="0.2">
      <c r="A39">
        <v>180</v>
      </c>
    </row>
    <row r="43" spans="1:8" x14ac:dyDescent="0.2">
      <c r="A43" t="s">
        <v>12</v>
      </c>
    </row>
    <row r="44" spans="1:8" x14ac:dyDescent="0.2">
      <c r="A44" t="s">
        <v>8</v>
      </c>
      <c r="B44" t="s">
        <v>19</v>
      </c>
      <c r="G44" s="1" t="s">
        <v>10</v>
      </c>
      <c r="H44" s="1" t="s">
        <v>15</v>
      </c>
    </row>
    <row r="45" spans="1:8" x14ac:dyDescent="0.2">
      <c r="A45">
        <v>-5</v>
      </c>
      <c r="B45">
        <v>5.8</v>
      </c>
      <c r="C45">
        <v>6.3</v>
      </c>
      <c r="D45">
        <v>7.6</v>
      </c>
      <c r="G45" s="1">
        <f>AVERAGE(B45:F45)</f>
        <v>6.5666666666666664</v>
      </c>
      <c r="H45" s="1">
        <f>STDEV(B45:F45)/SQRT(COUNT(B45:F45))</f>
        <v>0.53644923131437272</v>
      </c>
    </row>
    <row r="46" spans="1:8" x14ac:dyDescent="0.2">
      <c r="A46">
        <v>0</v>
      </c>
      <c r="B46">
        <v>5.8</v>
      </c>
      <c r="C46">
        <v>10.1</v>
      </c>
      <c r="D46">
        <v>6.3</v>
      </c>
      <c r="G46" s="1">
        <f>AVERAGE(B46:F46)</f>
        <v>7.3999999999999995</v>
      </c>
      <c r="H46" s="1">
        <f>STDEV(B46:F46)/SQRT(COUNT(B46:F46))</f>
        <v>1.357694123627752</v>
      </c>
    </row>
    <row r="47" spans="1:8" x14ac:dyDescent="0.2">
      <c r="A47">
        <v>5</v>
      </c>
      <c r="B47">
        <v>6</v>
      </c>
      <c r="C47">
        <v>6.3</v>
      </c>
      <c r="D47">
        <v>5.3</v>
      </c>
      <c r="G47" s="1">
        <f t="shared" ref="G47:G49" si="4">AVERAGE(B47:F47)</f>
        <v>5.8666666666666671</v>
      </c>
      <c r="H47" s="1">
        <f t="shared" ref="H47:H49" si="5">STDEV(B47:F47)/SQRT(COUNT(B47:F47))</f>
        <v>0.29627314724385301</v>
      </c>
    </row>
    <row r="48" spans="1:8" x14ac:dyDescent="0.2">
      <c r="A48">
        <v>15</v>
      </c>
      <c r="B48">
        <v>7.3</v>
      </c>
      <c r="C48">
        <v>6.7</v>
      </c>
      <c r="D48">
        <v>8.3000000000000007</v>
      </c>
      <c r="G48" s="1">
        <f t="shared" si="4"/>
        <v>7.4333333333333336</v>
      </c>
      <c r="H48" s="1">
        <f t="shared" si="5"/>
        <v>0.4666666666666669</v>
      </c>
    </row>
    <row r="49" spans="1:9" x14ac:dyDescent="0.2">
      <c r="A49">
        <v>40</v>
      </c>
      <c r="B49">
        <v>8.3000000000000007</v>
      </c>
      <c r="C49">
        <v>2.8</v>
      </c>
      <c r="D49">
        <v>9.1</v>
      </c>
      <c r="G49" s="1">
        <f t="shared" si="4"/>
        <v>6.7333333333333343</v>
      </c>
      <c r="H49" s="1">
        <f t="shared" si="5"/>
        <v>1.9801795653705518</v>
      </c>
    </row>
    <row r="52" spans="1:9" x14ac:dyDescent="0.2">
      <c r="A52" t="s">
        <v>16</v>
      </c>
    </row>
    <row r="53" spans="1:9" x14ac:dyDescent="0.2">
      <c r="A53" t="s">
        <v>8</v>
      </c>
      <c r="B53" t="s">
        <v>19</v>
      </c>
      <c r="G53" s="1" t="s">
        <v>10</v>
      </c>
      <c r="H53" s="1" t="s">
        <v>15</v>
      </c>
    </row>
    <row r="54" spans="1:9" x14ac:dyDescent="0.2">
      <c r="A54">
        <v>-5</v>
      </c>
      <c r="B54">
        <v>1.1000000000000001</v>
      </c>
      <c r="C54">
        <v>0.7</v>
      </c>
      <c r="D54">
        <v>0.8</v>
      </c>
      <c r="G54" s="1">
        <f t="shared" ref="G54" si="6">AVERAGE(B54:F54)</f>
        <v>0.8666666666666667</v>
      </c>
      <c r="H54" s="1">
        <f t="shared" ref="H54" si="7">STDEV(B54:F54)/SQRT(COUNT(B54:F54))</f>
        <v>0.12018504251546647</v>
      </c>
    </row>
    <row r="55" spans="1:9" x14ac:dyDescent="0.2">
      <c r="A55">
        <v>0</v>
      </c>
      <c r="B55">
        <v>0.3</v>
      </c>
      <c r="C55">
        <v>0.2</v>
      </c>
      <c r="D55">
        <v>0.2</v>
      </c>
      <c r="G55" s="1">
        <f>AVERAGE(B55:F55)</f>
        <v>0.23333333333333331</v>
      </c>
      <c r="H55" s="1">
        <f>STDEV(B55:F55)/SQRT(COUNT(B55:F55))</f>
        <v>3.3333333333333444E-2</v>
      </c>
    </row>
    <row r="56" spans="1:9" x14ac:dyDescent="0.2">
      <c r="A56">
        <v>5</v>
      </c>
      <c r="B56">
        <v>0.9</v>
      </c>
      <c r="C56">
        <v>1.1000000000000001</v>
      </c>
      <c r="D56">
        <v>0.9</v>
      </c>
      <c r="G56" s="1">
        <f t="shared" ref="G56:G57" si="8">AVERAGE(B56:F56)</f>
        <v>0.96666666666666667</v>
      </c>
      <c r="H56" s="1">
        <f t="shared" ref="H56:H57" si="9">STDEV(B56:F56)/SQRT(COUNT(B56:F56))</f>
        <v>6.6666666666666693E-2</v>
      </c>
    </row>
    <row r="57" spans="1:9" x14ac:dyDescent="0.2">
      <c r="A57">
        <v>15</v>
      </c>
      <c r="B57">
        <v>0.7</v>
      </c>
      <c r="C57">
        <v>0.7</v>
      </c>
      <c r="D57">
        <v>0.7</v>
      </c>
      <c r="G57" s="1">
        <f t="shared" si="8"/>
        <v>0.69999999999999984</v>
      </c>
      <c r="H57" s="1">
        <f t="shared" si="9"/>
        <v>7.8504622934188746E-17</v>
      </c>
    </row>
    <row r="58" spans="1:9" x14ac:dyDescent="0.2">
      <c r="A58">
        <v>40</v>
      </c>
      <c r="B58" t="s">
        <v>17</v>
      </c>
      <c r="C58" t="s">
        <v>17</v>
      </c>
      <c r="D58" t="s">
        <v>17</v>
      </c>
      <c r="E58" t="s">
        <v>17</v>
      </c>
      <c r="F58" t="s">
        <v>17</v>
      </c>
    </row>
    <row r="62" spans="1:9" x14ac:dyDescent="0.2">
      <c r="A62" t="s">
        <v>43</v>
      </c>
    </row>
    <row r="63" spans="1:9" x14ac:dyDescent="0.2">
      <c r="A63" t="s">
        <v>8</v>
      </c>
      <c r="B63" t="s">
        <v>35</v>
      </c>
      <c r="C63" t="s">
        <v>36</v>
      </c>
      <c r="D63" t="s">
        <v>37</v>
      </c>
      <c r="E63" t="s">
        <v>38</v>
      </c>
      <c r="F63" t="s">
        <v>33</v>
      </c>
      <c r="G63" s="1" t="s">
        <v>34</v>
      </c>
      <c r="H63" s="1" t="s">
        <v>39</v>
      </c>
      <c r="I63" t="s">
        <v>40</v>
      </c>
    </row>
    <row r="64" spans="1:9" x14ac:dyDescent="0.2">
      <c r="A64">
        <v>-5</v>
      </c>
      <c r="B64">
        <v>800</v>
      </c>
      <c r="C64">
        <v>400</v>
      </c>
      <c r="D64">
        <v>150</v>
      </c>
      <c r="E64">
        <f>B64*C64*D64</f>
        <v>48000000</v>
      </c>
    </row>
    <row r="65" spans="1:9" x14ac:dyDescent="0.2">
      <c r="A65">
        <v>-5</v>
      </c>
      <c r="B65">
        <v>700</v>
      </c>
      <c r="C65">
        <v>500</v>
      </c>
      <c r="D65">
        <v>150</v>
      </c>
      <c r="E65">
        <f t="shared" ref="E65:E79" si="10">B65*C65*D65</f>
        <v>52500000</v>
      </c>
    </row>
    <row r="66" spans="1:9" x14ac:dyDescent="0.2">
      <c r="A66">
        <v>-5</v>
      </c>
      <c r="B66">
        <v>700</v>
      </c>
      <c r="C66">
        <v>500</v>
      </c>
      <c r="D66">
        <v>150</v>
      </c>
      <c r="E66">
        <f t="shared" si="10"/>
        <v>52500000</v>
      </c>
    </row>
    <row r="67" spans="1:9" x14ac:dyDescent="0.2">
      <c r="A67">
        <v>-5</v>
      </c>
      <c r="B67">
        <v>600</v>
      </c>
      <c r="C67">
        <v>300</v>
      </c>
      <c r="D67">
        <v>100</v>
      </c>
      <c r="E67">
        <f t="shared" si="10"/>
        <v>18000000</v>
      </c>
      <c r="F67">
        <f>AVERAGE(B64:B67)</f>
        <v>700</v>
      </c>
      <c r="G67" s="1">
        <f>STDEV(B64:B67)</f>
        <v>81.649658092772611</v>
      </c>
      <c r="H67" s="1">
        <f>AVERAGE(E64:E67)</f>
        <v>42750000</v>
      </c>
      <c r="I67">
        <f>STDEV(E64:E67)/SQRT(COUNT(E64:E67))</f>
        <v>8317902.3798070624</v>
      </c>
    </row>
    <row r="68" spans="1:9" x14ac:dyDescent="0.2">
      <c r="A68">
        <v>0</v>
      </c>
      <c r="B68">
        <v>400</v>
      </c>
      <c r="C68">
        <v>400</v>
      </c>
      <c r="D68">
        <v>150</v>
      </c>
      <c r="E68">
        <f t="shared" si="10"/>
        <v>24000000</v>
      </c>
    </row>
    <row r="69" spans="1:9" x14ac:dyDescent="0.2">
      <c r="A69">
        <v>0</v>
      </c>
      <c r="B69">
        <v>400</v>
      </c>
      <c r="C69">
        <v>400</v>
      </c>
      <c r="D69">
        <v>150</v>
      </c>
      <c r="E69">
        <f t="shared" si="10"/>
        <v>24000000</v>
      </c>
    </row>
    <row r="70" spans="1:9" x14ac:dyDescent="0.2">
      <c r="A70">
        <v>0</v>
      </c>
      <c r="B70">
        <v>300</v>
      </c>
      <c r="C70">
        <v>200</v>
      </c>
      <c r="D70">
        <v>100</v>
      </c>
      <c r="E70">
        <f t="shared" si="10"/>
        <v>6000000</v>
      </c>
      <c r="F70">
        <f>AVERAGE(B68:B70)</f>
        <v>366.66666666666669</v>
      </c>
      <c r="G70" s="1">
        <f>STDEV(B68:B70)</f>
        <v>57.73502691896266</v>
      </c>
      <c r="H70" s="1">
        <f>AVERAGE(E68:E70)</f>
        <v>18000000</v>
      </c>
      <c r="I70">
        <f>STDEV(E68:E70)/SQRT(COUNT(E68:E70))</f>
        <v>6000000</v>
      </c>
    </row>
    <row r="71" spans="1:9" x14ac:dyDescent="0.2">
      <c r="A71">
        <v>5</v>
      </c>
      <c r="B71">
        <v>300</v>
      </c>
      <c r="C71">
        <v>300</v>
      </c>
      <c r="D71">
        <v>300</v>
      </c>
      <c r="E71">
        <f t="shared" si="10"/>
        <v>27000000</v>
      </c>
    </row>
    <row r="72" spans="1:9" x14ac:dyDescent="0.2">
      <c r="A72">
        <v>5</v>
      </c>
      <c r="B72">
        <v>400</v>
      </c>
      <c r="C72">
        <v>200</v>
      </c>
      <c r="D72">
        <v>100</v>
      </c>
      <c r="E72">
        <f t="shared" si="10"/>
        <v>8000000</v>
      </c>
    </row>
    <row r="73" spans="1:9" x14ac:dyDescent="0.2">
      <c r="A73">
        <v>5</v>
      </c>
      <c r="B73">
        <v>400</v>
      </c>
      <c r="C73">
        <v>200</v>
      </c>
      <c r="D73">
        <v>100</v>
      </c>
      <c r="E73">
        <f t="shared" si="10"/>
        <v>8000000</v>
      </c>
      <c r="F73">
        <f>AVERAGE(B71:B73)</f>
        <v>366.66666666666669</v>
      </c>
      <c r="G73" s="1">
        <f>STDEV(B71:B73)</f>
        <v>57.73502691896266</v>
      </c>
      <c r="H73" s="1">
        <f>AVERAGE(E71:E73)</f>
        <v>14333333.333333334</v>
      </c>
      <c r="I73">
        <f>STDEV(E71:E73)/SQRT(3)</f>
        <v>6333333.333333333</v>
      </c>
    </row>
    <row r="74" spans="1:9" x14ac:dyDescent="0.2">
      <c r="A74">
        <v>15</v>
      </c>
      <c r="B74">
        <v>600</v>
      </c>
      <c r="C74">
        <v>300</v>
      </c>
      <c r="D74">
        <v>100</v>
      </c>
      <c r="E74">
        <f t="shared" si="10"/>
        <v>18000000</v>
      </c>
    </row>
    <row r="75" spans="1:9" x14ac:dyDescent="0.2">
      <c r="A75">
        <v>15</v>
      </c>
      <c r="B75">
        <v>400</v>
      </c>
      <c r="C75">
        <v>250</v>
      </c>
      <c r="D75">
        <v>100</v>
      </c>
      <c r="E75">
        <f t="shared" si="10"/>
        <v>10000000</v>
      </c>
    </row>
    <row r="76" spans="1:9" x14ac:dyDescent="0.2">
      <c r="A76">
        <v>15</v>
      </c>
      <c r="B76">
        <v>400</v>
      </c>
      <c r="C76">
        <v>400</v>
      </c>
      <c r="D76">
        <v>150</v>
      </c>
      <c r="E76">
        <f t="shared" si="10"/>
        <v>24000000</v>
      </c>
      <c r="F76">
        <f>AVERAGE(B74:B76)</f>
        <v>466.66666666666669</v>
      </c>
      <c r="G76" s="1">
        <f>STDEV(B74:B76)</f>
        <v>115.47005383792506</v>
      </c>
      <c r="H76" s="1">
        <f>AVERAGE(E74:E76)</f>
        <v>17333333.333333332</v>
      </c>
      <c r="I76">
        <f>STDEV(E74:E76)/1.73</f>
        <v>4059982.1783632897</v>
      </c>
    </row>
    <row r="77" spans="1:9" x14ac:dyDescent="0.2">
      <c r="A77">
        <v>40</v>
      </c>
      <c r="B77">
        <v>400</v>
      </c>
      <c r="C77">
        <v>400</v>
      </c>
      <c r="D77">
        <v>150</v>
      </c>
      <c r="E77">
        <f t="shared" si="10"/>
        <v>24000000</v>
      </c>
    </row>
    <row r="78" spans="1:9" x14ac:dyDescent="0.2">
      <c r="A78">
        <v>40</v>
      </c>
      <c r="B78">
        <v>500</v>
      </c>
      <c r="C78">
        <v>400</v>
      </c>
      <c r="D78">
        <v>150</v>
      </c>
      <c r="E78">
        <f t="shared" si="10"/>
        <v>30000000</v>
      </c>
    </row>
    <row r="79" spans="1:9" x14ac:dyDescent="0.2">
      <c r="A79">
        <v>40</v>
      </c>
      <c r="B79">
        <v>700</v>
      </c>
      <c r="C79">
        <v>500</v>
      </c>
      <c r="D79">
        <v>200</v>
      </c>
      <c r="E79">
        <f t="shared" si="10"/>
        <v>70000000</v>
      </c>
      <c r="F79">
        <f>AVERAGE(B77:B79)</f>
        <v>533.33333333333337</v>
      </c>
      <c r="G79" s="1">
        <f>STDEV(B77:B79)</f>
        <v>152.75252316519462</v>
      </c>
      <c r="H79" s="1">
        <f>AVERAGE(E77:E79)</f>
        <v>41333333.333333336</v>
      </c>
      <c r="I79">
        <f>STDEV(E77:E79)/2</f>
        <v>12503332.889007369</v>
      </c>
    </row>
    <row r="81" spans="1:9" x14ac:dyDescent="0.2">
      <c r="A81" t="s">
        <v>6</v>
      </c>
    </row>
    <row r="82" spans="1:9" x14ac:dyDescent="0.2">
      <c r="A82">
        <v>-5</v>
      </c>
      <c r="B82">
        <v>300</v>
      </c>
      <c r="C82">
        <v>300</v>
      </c>
      <c r="D82">
        <v>100</v>
      </c>
      <c r="E82">
        <f t="shared" ref="E82:E97" si="11">B82*C82*D82</f>
        <v>9000000</v>
      </c>
    </row>
    <row r="83" spans="1:9" x14ac:dyDescent="0.2">
      <c r="A83">
        <v>-5</v>
      </c>
      <c r="B83">
        <v>200</v>
      </c>
      <c r="C83">
        <v>200</v>
      </c>
      <c r="D83">
        <v>100</v>
      </c>
      <c r="E83">
        <f t="shared" si="11"/>
        <v>4000000</v>
      </c>
    </row>
    <row r="84" spans="1:9" x14ac:dyDescent="0.2">
      <c r="A84">
        <v>-5</v>
      </c>
      <c r="B84">
        <v>200</v>
      </c>
      <c r="C84">
        <v>200</v>
      </c>
      <c r="D84">
        <v>100</v>
      </c>
      <c r="E84">
        <f t="shared" si="11"/>
        <v>4000000</v>
      </c>
      <c r="F84">
        <f>AVERAGE(B82:B84)</f>
        <v>233.33333333333334</v>
      </c>
      <c r="G84" s="1">
        <f>STDEV(B82:B84)</f>
        <v>57.735026918962532</v>
      </c>
      <c r="H84" s="1">
        <f>AVERAGE(E82:E84)</f>
        <v>5666666.666666667</v>
      </c>
      <c r="I84">
        <f>STDEV(E82:E84)/1.73</f>
        <v>1668642.3965018089</v>
      </c>
    </row>
    <row r="85" spans="1:9" x14ac:dyDescent="0.2">
      <c r="A85">
        <v>0</v>
      </c>
      <c r="B85">
        <v>300</v>
      </c>
      <c r="C85">
        <v>300</v>
      </c>
      <c r="D85">
        <v>100</v>
      </c>
      <c r="E85">
        <f t="shared" si="11"/>
        <v>9000000</v>
      </c>
    </row>
    <row r="86" spans="1:9" x14ac:dyDescent="0.2">
      <c r="A86">
        <v>0</v>
      </c>
      <c r="B86">
        <v>300</v>
      </c>
      <c r="C86">
        <v>300</v>
      </c>
      <c r="D86">
        <v>100</v>
      </c>
      <c r="E86">
        <f t="shared" si="11"/>
        <v>9000000</v>
      </c>
    </row>
    <row r="87" spans="1:9" x14ac:dyDescent="0.2">
      <c r="A87">
        <v>0</v>
      </c>
      <c r="B87">
        <v>400</v>
      </c>
      <c r="C87">
        <v>300</v>
      </c>
      <c r="D87">
        <v>200</v>
      </c>
      <c r="E87">
        <f t="shared" si="11"/>
        <v>24000000</v>
      </c>
    </row>
    <row r="88" spans="1:9" x14ac:dyDescent="0.2">
      <c r="A88">
        <v>0</v>
      </c>
      <c r="B88">
        <v>400</v>
      </c>
      <c r="C88">
        <v>400</v>
      </c>
      <c r="D88">
        <v>200</v>
      </c>
      <c r="E88">
        <f t="shared" si="11"/>
        <v>32000000</v>
      </c>
      <c r="F88">
        <f>AVERAGE(B85:B88)</f>
        <v>350</v>
      </c>
      <c r="G88" s="1">
        <f>STDEV(B85:B88)</f>
        <v>57.735026918962575</v>
      </c>
      <c r="H88" s="1">
        <f>AVERAGE(E85:E88)</f>
        <v>18500000</v>
      </c>
      <c r="I88">
        <f>STDEV(E85:E88)/1.73</f>
        <v>6615909.3307858948</v>
      </c>
    </row>
    <row r="89" spans="1:9" x14ac:dyDescent="0.2">
      <c r="A89">
        <v>5</v>
      </c>
      <c r="B89">
        <v>200</v>
      </c>
      <c r="C89">
        <v>200</v>
      </c>
      <c r="D89">
        <v>100</v>
      </c>
      <c r="E89">
        <f t="shared" si="11"/>
        <v>4000000</v>
      </c>
    </row>
    <row r="90" spans="1:9" x14ac:dyDescent="0.2">
      <c r="A90">
        <v>5</v>
      </c>
      <c r="B90">
        <v>300</v>
      </c>
      <c r="C90">
        <v>300</v>
      </c>
      <c r="D90">
        <v>100</v>
      </c>
      <c r="E90">
        <f t="shared" si="11"/>
        <v>9000000</v>
      </c>
    </row>
    <row r="91" spans="1:9" x14ac:dyDescent="0.2">
      <c r="A91">
        <v>5</v>
      </c>
      <c r="B91">
        <v>300</v>
      </c>
      <c r="C91">
        <v>300</v>
      </c>
      <c r="D91">
        <v>150</v>
      </c>
      <c r="E91">
        <f t="shared" si="11"/>
        <v>13500000</v>
      </c>
      <c r="F91">
        <f>AVERAGE(B89:B91)</f>
        <v>266.66666666666669</v>
      </c>
      <c r="G91" s="1">
        <f>STDEV(B89:B91)</f>
        <v>57.735026918962532</v>
      </c>
      <c r="H91" s="1">
        <f>AVERAGE(E89:E91)</f>
        <v>8833333.333333334</v>
      </c>
      <c r="I91">
        <f>STDEV(E89:E91)/1.73</f>
        <v>2746932.0673185457</v>
      </c>
    </row>
    <row r="92" spans="1:9" x14ac:dyDescent="0.2">
      <c r="A92">
        <v>15</v>
      </c>
      <c r="B92">
        <v>350</v>
      </c>
      <c r="C92">
        <v>350</v>
      </c>
      <c r="D92">
        <v>150</v>
      </c>
      <c r="E92">
        <f t="shared" si="11"/>
        <v>18375000</v>
      </c>
    </row>
    <row r="93" spans="1:9" x14ac:dyDescent="0.2">
      <c r="A93">
        <v>15</v>
      </c>
      <c r="B93">
        <v>250</v>
      </c>
      <c r="C93">
        <v>250</v>
      </c>
      <c r="D93">
        <v>100</v>
      </c>
      <c r="E93">
        <f t="shared" si="11"/>
        <v>6250000</v>
      </c>
    </row>
    <row r="94" spans="1:9" x14ac:dyDescent="0.2">
      <c r="A94">
        <v>15</v>
      </c>
      <c r="B94">
        <v>300</v>
      </c>
      <c r="C94">
        <v>250</v>
      </c>
      <c r="D94">
        <v>150</v>
      </c>
      <c r="E94">
        <f t="shared" si="11"/>
        <v>11250000</v>
      </c>
      <c r="F94">
        <f>AVERAGE(B92:B94)</f>
        <v>300</v>
      </c>
      <c r="G94" s="1">
        <f>STDEV(B92:B94)</f>
        <v>50</v>
      </c>
      <c r="H94" s="1">
        <f>AVERAGE(E92:E94)</f>
        <v>11958333.333333334</v>
      </c>
      <c r="I94">
        <f>STDEV(E92:E94)/1.73</f>
        <v>3522229.0112706083</v>
      </c>
    </row>
    <row r="95" spans="1:9" x14ac:dyDescent="0.2">
      <c r="A95">
        <v>40</v>
      </c>
      <c r="B95">
        <v>350</v>
      </c>
      <c r="C95">
        <v>350</v>
      </c>
      <c r="D95">
        <v>150</v>
      </c>
      <c r="E95">
        <f t="shared" si="11"/>
        <v>18375000</v>
      </c>
    </row>
    <row r="96" spans="1:9" x14ac:dyDescent="0.2">
      <c r="A96">
        <v>40</v>
      </c>
      <c r="B96">
        <v>300</v>
      </c>
      <c r="C96">
        <v>300</v>
      </c>
      <c r="D96">
        <v>100</v>
      </c>
      <c r="E96">
        <f t="shared" si="11"/>
        <v>9000000</v>
      </c>
    </row>
    <row r="97" spans="1:9" x14ac:dyDescent="0.2">
      <c r="A97">
        <v>40</v>
      </c>
      <c r="B97">
        <v>400</v>
      </c>
      <c r="C97">
        <v>400</v>
      </c>
      <c r="D97">
        <v>200</v>
      </c>
      <c r="E97">
        <f t="shared" si="11"/>
        <v>32000000</v>
      </c>
      <c r="F97">
        <f>AVERAGE(B95:B97)</f>
        <v>350</v>
      </c>
      <c r="G97" s="1">
        <f>STDEV(B95:B97)</f>
        <v>50</v>
      </c>
      <c r="H97" s="1">
        <f>AVERAGE(E95:E97)</f>
        <v>19791666.666666668</v>
      </c>
      <c r="I97">
        <f>STDEV(E95:E97)/1.73</f>
        <v>6685120.6242279271</v>
      </c>
    </row>
    <row r="99" spans="1:9" x14ac:dyDescent="0.2">
      <c r="A99" t="s">
        <v>16</v>
      </c>
    </row>
    <row r="100" spans="1:9" x14ac:dyDescent="0.2">
      <c r="A100">
        <v>-5</v>
      </c>
      <c r="B100">
        <v>300</v>
      </c>
      <c r="C100">
        <v>80</v>
      </c>
      <c r="E100">
        <f t="shared" ref="E100:E111" si="12">3.14*(C100/2)^2*B100</f>
        <v>1507200</v>
      </c>
    </row>
    <row r="101" spans="1:9" x14ac:dyDescent="0.2">
      <c r="A101">
        <v>-5</v>
      </c>
      <c r="B101">
        <v>300</v>
      </c>
      <c r="C101">
        <v>80</v>
      </c>
      <c r="E101">
        <f t="shared" si="12"/>
        <v>1507200</v>
      </c>
    </row>
    <row r="102" spans="1:9" x14ac:dyDescent="0.2">
      <c r="A102">
        <v>-5</v>
      </c>
      <c r="B102">
        <v>300</v>
      </c>
      <c r="C102">
        <v>70</v>
      </c>
      <c r="E102">
        <f t="shared" si="12"/>
        <v>1153950</v>
      </c>
      <c r="F102">
        <f>AVERAGE(B100:B102)</f>
        <v>300</v>
      </c>
      <c r="G102" s="1">
        <f>STDEV(B100:B102)</f>
        <v>0</v>
      </c>
      <c r="H102" s="1">
        <f>AVERAGE(E100:E102)</f>
        <v>1389450</v>
      </c>
      <c r="I102">
        <f>STDEV(E100:E102)/1.73</f>
        <v>117889.58531285278</v>
      </c>
    </row>
    <row r="103" spans="1:9" x14ac:dyDescent="0.2">
      <c r="A103">
        <v>0</v>
      </c>
      <c r="B103">
        <v>20</v>
      </c>
      <c r="C103">
        <v>80</v>
      </c>
      <c r="E103">
        <f t="shared" si="12"/>
        <v>100480</v>
      </c>
    </row>
    <row r="104" spans="1:9" x14ac:dyDescent="0.2">
      <c r="A104">
        <v>0</v>
      </c>
      <c r="B104">
        <v>20</v>
      </c>
      <c r="C104">
        <v>90</v>
      </c>
      <c r="E104">
        <f t="shared" si="12"/>
        <v>127170</v>
      </c>
    </row>
    <row r="105" spans="1:9" x14ac:dyDescent="0.2">
      <c r="A105">
        <v>0</v>
      </c>
      <c r="B105">
        <v>20</v>
      </c>
      <c r="C105">
        <v>90</v>
      </c>
      <c r="E105">
        <f t="shared" si="12"/>
        <v>127170</v>
      </c>
      <c r="F105">
        <f>AVERAGE(B103:B105)</f>
        <v>20</v>
      </c>
      <c r="G105" s="1">
        <f>STDEV(B103:B105)</f>
        <v>0</v>
      </c>
      <c r="H105" s="1">
        <f>AVERAGE(E103:E105)</f>
        <v>118273.33333333333</v>
      </c>
      <c r="I105">
        <f>STDEV(E103:E105)/1.73</f>
        <v>8907.2131125266296</v>
      </c>
    </row>
    <row r="106" spans="1:9" x14ac:dyDescent="0.2">
      <c r="A106">
        <v>5</v>
      </c>
      <c r="B106">
        <v>500</v>
      </c>
      <c r="C106">
        <v>70</v>
      </c>
      <c r="E106">
        <f t="shared" si="12"/>
        <v>1923250</v>
      </c>
    </row>
    <row r="107" spans="1:9" x14ac:dyDescent="0.2">
      <c r="A107">
        <v>5</v>
      </c>
      <c r="B107">
        <v>500</v>
      </c>
      <c r="C107">
        <v>70</v>
      </c>
      <c r="E107">
        <f t="shared" si="12"/>
        <v>1923250</v>
      </c>
    </row>
    <row r="108" spans="1:9" x14ac:dyDescent="0.2">
      <c r="A108">
        <v>5</v>
      </c>
      <c r="B108">
        <v>500</v>
      </c>
      <c r="C108">
        <v>70</v>
      </c>
      <c r="E108">
        <f t="shared" si="12"/>
        <v>1923250</v>
      </c>
      <c r="F108">
        <f>AVERAGE(B106:B108)</f>
        <v>500</v>
      </c>
      <c r="G108" s="1">
        <f>STDEV(B106:B108)</f>
        <v>0</v>
      </c>
      <c r="H108" s="1">
        <f>AVERAGE(E106:E108)</f>
        <v>1923250</v>
      </c>
      <c r="I108">
        <f>STDEV(E106:E108)</f>
        <v>0</v>
      </c>
    </row>
    <row r="109" spans="1:9" x14ac:dyDescent="0.2">
      <c r="A109">
        <v>15</v>
      </c>
      <c r="B109">
        <v>400</v>
      </c>
      <c r="C109">
        <v>80</v>
      </c>
      <c r="E109">
        <f t="shared" si="12"/>
        <v>2009600</v>
      </c>
    </row>
    <row r="110" spans="1:9" x14ac:dyDescent="0.2">
      <c r="A110">
        <v>15</v>
      </c>
      <c r="B110">
        <v>400</v>
      </c>
      <c r="C110">
        <v>70</v>
      </c>
      <c r="E110">
        <f t="shared" si="12"/>
        <v>1538600</v>
      </c>
    </row>
    <row r="111" spans="1:9" x14ac:dyDescent="0.2">
      <c r="A111">
        <v>15</v>
      </c>
      <c r="B111">
        <v>400</v>
      </c>
      <c r="C111">
        <v>70</v>
      </c>
      <c r="E111">
        <f t="shared" si="12"/>
        <v>1538600</v>
      </c>
      <c r="F111">
        <f>AVERAGE(B109:B111)</f>
        <v>400</v>
      </c>
      <c r="G111" s="1">
        <f>STDEV(B109:B111)</f>
        <v>0</v>
      </c>
      <c r="H111" s="1">
        <f>AVERAGE(E109:E111)</f>
        <v>1695600</v>
      </c>
      <c r="I111">
        <f>STDEV(E109:E111)/1.73</f>
        <v>157186.11375047037</v>
      </c>
    </row>
    <row r="114" spans="1:10" x14ac:dyDescent="0.2">
      <c r="A114" t="s">
        <v>9</v>
      </c>
      <c r="I114" t="s">
        <v>51</v>
      </c>
    </row>
    <row r="115" spans="1:10" x14ac:dyDescent="0.2">
      <c r="A115" t="s">
        <v>8</v>
      </c>
      <c r="B115" t="s">
        <v>13</v>
      </c>
      <c r="G115" s="1" t="s">
        <v>44</v>
      </c>
      <c r="H115" s="1" t="s">
        <v>45</v>
      </c>
    </row>
    <row r="116" spans="1:10" x14ac:dyDescent="0.2">
      <c r="A116">
        <v>-5</v>
      </c>
      <c r="B116">
        <v>72.400000000000006</v>
      </c>
      <c r="C116">
        <v>71.3</v>
      </c>
      <c r="D116">
        <v>72</v>
      </c>
      <c r="G116" s="1">
        <f>AVERAGE(B116:F116)</f>
        <v>71.899999999999991</v>
      </c>
      <c r="H116" s="1">
        <f>STDEV(B116:F116)/SQRT(COUNT(B116:F116))</f>
        <v>0.32145502536643422</v>
      </c>
      <c r="I116">
        <f>G116/71.9</f>
        <v>0.99999999999999978</v>
      </c>
      <c r="J116">
        <f>H116/71.9</f>
        <v>4.4708626615637577E-3</v>
      </c>
    </row>
    <row r="117" spans="1:10" x14ac:dyDescent="0.2">
      <c r="A117">
        <v>0</v>
      </c>
      <c r="B117">
        <v>72.099999999999994</v>
      </c>
      <c r="C117">
        <v>72.2</v>
      </c>
      <c r="G117" s="1">
        <f t="shared" ref="G117:G120" si="13">AVERAGE(B117:F117)</f>
        <v>72.150000000000006</v>
      </c>
      <c r="H117" s="1">
        <f t="shared" ref="H117:H120" si="14">STDEV(B117:F117)/SQRT(COUNT(B117:F117))</f>
        <v>5.0000000000004263E-2</v>
      </c>
      <c r="I117">
        <f t="shared" ref="I117:J120" si="15">G117/71.9</f>
        <v>1.0034770514603617</v>
      </c>
      <c r="J117">
        <f t="shared" si="15"/>
        <v>6.9541029207238194E-4</v>
      </c>
    </row>
    <row r="118" spans="1:10" x14ac:dyDescent="0.2">
      <c r="A118">
        <v>5</v>
      </c>
      <c r="B118">
        <v>72.3</v>
      </c>
      <c r="C118">
        <v>72.099999999999994</v>
      </c>
      <c r="D118">
        <v>72.099999999999994</v>
      </c>
      <c r="G118" s="1">
        <f t="shared" si="13"/>
        <v>72.166666666666657</v>
      </c>
      <c r="H118" s="1">
        <f t="shared" si="14"/>
        <v>6.6666666666667623E-2</v>
      </c>
      <c r="I118">
        <f t="shared" si="15"/>
        <v>1.0037088548910522</v>
      </c>
      <c r="J118">
        <f t="shared" si="15"/>
        <v>9.2721372276311008E-4</v>
      </c>
    </row>
    <row r="119" spans="1:10" x14ac:dyDescent="0.2">
      <c r="A119">
        <v>15</v>
      </c>
      <c r="B119">
        <v>72.099999999999994</v>
      </c>
      <c r="C119">
        <v>71.8</v>
      </c>
      <c r="D119">
        <v>72.099999999999994</v>
      </c>
      <c r="G119" s="1">
        <f t="shared" si="13"/>
        <v>71.999999999999986</v>
      </c>
      <c r="H119" s="1">
        <f t="shared" si="14"/>
        <v>9.9999999999999062E-2</v>
      </c>
      <c r="I119">
        <f t="shared" si="15"/>
        <v>1.0013908205841444</v>
      </c>
      <c r="J119">
        <f t="shared" si="15"/>
        <v>1.3908205841446323E-3</v>
      </c>
    </row>
    <row r="120" spans="1:10" x14ac:dyDescent="0.2">
      <c r="A120">
        <v>40</v>
      </c>
      <c r="B120">
        <v>72.099999999999994</v>
      </c>
      <c r="C120">
        <v>72.099999999999994</v>
      </c>
      <c r="D120">
        <v>72.2</v>
      </c>
      <c r="G120" s="1">
        <f t="shared" si="13"/>
        <v>72.133333333333326</v>
      </c>
      <c r="H120" s="1">
        <f t="shared" si="14"/>
        <v>3.3333333333336178E-2</v>
      </c>
      <c r="I120">
        <f t="shared" si="15"/>
        <v>1.0032452480296707</v>
      </c>
      <c r="J120">
        <f t="shared" si="15"/>
        <v>4.63606861381588E-4</v>
      </c>
    </row>
    <row r="121" spans="1:10" x14ac:dyDescent="0.2">
      <c r="A121">
        <v>180</v>
      </c>
    </row>
    <row r="122" spans="1:10" x14ac:dyDescent="0.2">
      <c r="A122" t="s">
        <v>8</v>
      </c>
      <c r="B122" t="s">
        <v>22</v>
      </c>
      <c r="G122" s="1" t="s">
        <v>46</v>
      </c>
      <c r="H122" s="1" t="s">
        <v>47</v>
      </c>
    </row>
    <row r="123" spans="1:10" x14ac:dyDescent="0.2">
      <c r="A123">
        <v>-5</v>
      </c>
      <c r="B123">
        <v>104.5</v>
      </c>
      <c r="C123">
        <v>104.8</v>
      </c>
      <c r="D123">
        <v>104.8</v>
      </c>
      <c r="G123" s="1">
        <f>AVERAGE(B123:F123)</f>
        <v>104.7</v>
      </c>
      <c r="H123" s="1">
        <f>STDEV(B123:F123)/SQRT(COUNT(B123:F123))</f>
        <v>9.9999999999999062E-2</v>
      </c>
      <c r="I123">
        <f>G123/104.7</f>
        <v>1</v>
      </c>
      <c r="J123">
        <f>H123/104.7</f>
        <v>9.5510983763131857E-4</v>
      </c>
    </row>
    <row r="124" spans="1:10" x14ac:dyDescent="0.2">
      <c r="A124">
        <v>0</v>
      </c>
      <c r="B124">
        <v>103.8</v>
      </c>
      <c r="C124">
        <v>104.8</v>
      </c>
      <c r="G124" s="1">
        <f t="shared" ref="G124:G127" si="16">AVERAGE(B124:F124)</f>
        <v>104.3</v>
      </c>
      <c r="H124" s="1">
        <f t="shared" ref="H124:H127" si="17">STDEV(B124:F124)/SQRT(COUNT(B124:F124))</f>
        <v>0.5</v>
      </c>
      <c r="I124">
        <f t="shared" ref="I124:J127" si="18">G124/104.7</f>
        <v>0.99617956064947466</v>
      </c>
      <c r="J124">
        <f t="shared" si="18"/>
        <v>4.7755491881566383E-3</v>
      </c>
    </row>
    <row r="125" spans="1:10" x14ac:dyDescent="0.2">
      <c r="A125">
        <v>5</v>
      </c>
      <c r="B125">
        <v>104.6</v>
      </c>
      <c r="C125">
        <v>104.5</v>
      </c>
      <c r="D125">
        <v>104.5</v>
      </c>
      <c r="G125" s="1">
        <f t="shared" si="16"/>
        <v>104.53333333333335</v>
      </c>
      <c r="H125" s="1">
        <f t="shared" si="17"/>
        <v>3.3333333333331439E-2</v>
      </c>
      <c r="I125">
        <f t="shared" si="18"/>
        <v>0.99840815027061458</v>
      </c>
      <c r="J125">
        <f t="shared" si="18"/>
        <v>3.183699458770911E-4</v>
      </c>
    </row>
    <row r="126" spans="1:10" x14ac:dyDescent="0.2">
      <c r="A126">
        <v>15</v>
      </c>
      <c r="B126">
        <v>104.7</v>
      </c>
      <c r="C126">
        <v>104.2</v>
      </c>
      <c r="D126">
        <v>104.5</v>
      </c>
      <c r="G126" s="1">
        <f t="shared" si="16"/>
        <v>104.46666666666665</v>
      </c>
      <c r="H126" s="1">
        <f t="shared" si="17"/>
        <v>0.14529663145135566</v>
      </c>
      <c r="I126">
        <f t="shared" si="18"/>
        <v>0.99777141037886008</v>
      </c>
      <c r="J126">
        <f t="shared" si="18"/>
        <v>1.3877424207388315E-3</v>
      </c>
    </row>
    <row r="127" spans="1:10" x14ac:dyDescent="0.2">
      <c r="A127">
        <v>40</v>
      </c>
      <c r="B127">
        <v>104.6</v>
      </c>
      <c r="C127">
        <v>104.6</v>
      </c>
      <c r="D127">
        <v>104.4</v>
      </c>
      <c r="G127" s="1">
        <f t="shared" si="16"/>
        <v>104.53333333333335</v>
      </c>
      <c r="H127" s="1">
        <f t="shared" si="17"/>
        <v>6.6666666666662877E-2</v>
      </c>
      <c r="I127">
        <f t="shared" si="18"/>
        <v>0.99840815027061458</v>
      </c>
      <c r="J127">
        <f t="shared" si="18"/>
        <v>6.3673989175418221E-4</v>
      </c>
    </row>
    <row r="128" spans="1:10" x14ac:dyDescent="0.2">
      <c r="A128">
        <v>180</v>
      </c>
    </row>
    <row r="129" spans="1:10" x14ac:dyDescent="0.2">
      <c r="A129" t="s">
        <v>8</v>
      </c>
      <c r="B129" t="s">
        <v>23</v>
      </c>
      <c r="G129" s="1" t="s">
        <v>48</v>
      </c>
      <c r="H129" s="1" t="s">
        <v>49</v>
      </c>
    </row>
    <row r="130" spans="1:10" x14ac:dyDescent="0.2">
      <c r="A130">
        <v>-5</v>
      </c>
      <c r="B130">
        <v>117.3</v>
      </c>
      <c r="C130">
        <v>117</v>
      </c>
      <c r="D130">
        <v>117.4</v>
      </c>
      <c r="G130" s="1">
        <f>AVERAGE(B130:F130)</f>
        <v>117.23333333333335</v>
      </c>
      <c r="H130" s="1">
        <f>STDEV(B130:F130)/SQRT(COUNT(B130:F130))</f>
        <v>0.12018504251546737</v>
      </c>
      <c r="I130">
        <f>G130/117.2</f>
        <v>1.0002844141069398</v>
      </c>
      <c r="J130">
        <f>H130/117.2</f>
        <v>1.025469646036411E-3</v>
      </c>
    </row>
    <row r="131" spans="1:10" x14ac:dyDescent="0.2">
      <c r="A131">
        <v>0</v>
      </c>
      <c r="B131">
        <v>117.8</v>
      </c>
      <c r="C131">
        <v>118.2</v>
      </c>
      <c r="G131" s="1">
        <f t="shared" ref="G131:G134" si="19">AVERAGE(B131:F131)</f>
        <v>118</v>
      </c>
      <c r="H131" s="1">
        <f t="shared" ref="H131:H134" si="20">STDEV(B131:F131)/SQRT(COUNT(B131:F131))</f>
        <v>0.20000000000000284</v>
      </c>
      <c r="I131">
        <f t="shared" ref="I131:J134" si="21">G131/117.2</f>
        <v>1.0068259385665528</v>
      </c>
      <c r="J131">
        <f t="shared" si="21"/>
        <v>1.7064846416382496E-3</v>
      </c>
    </row>
    <row r="132" spans="1:10" x14ac:dyDescent="0.2">
      <c r="A132">
        <v>5</v>
      </c>
      <c r="B132">
        <v>118</v>
      </c>
      <c r="C132">
        <v>117.8</v>
      </c>
      <c r="D132">
        <v>117.9</v>
      </c>
      <c r="G132" s="1">
        <f t="shared" si="19"/>
        <v>117.90000000000002</v>
      </c>
      <c r="H132" s="1">
        <f t="shared" si="20"/>
        <v>5.77350269189634E-2</v>
      </c>
      <c r="I132">
        <f t="shared" si="21"/>
        <v>1.005972696245734</v>
      </c>
      <c r="J132">
        <f t="shared" si="21"/>
        <v>4.9261968360890269E-4</v>
      </c>
    </row>
    <row r="133" spans="1:10" x14ac:dyDescent="0.2">
      <c r="A133">
        <v>15</v>
      </c>
      <c r="B133">
        <v>117.6</v>
      </c>
      <c r="C133">
        <v>117.9</v>
      </c>
      <c r="D133">
        <v>117.9</v>
      </c>
      <c r="G133" s="1">
        <f t="shared" si="19"/>
        <v>117.8</v>
      </c>
      <c r="H133" s="1">
        <f t="shared" si="20"/>
        <v>0.10000000000000381</v>
      </c>
      <c r="I133">
        <f t="shared" si="21"/>
        <v>1.0051194539249146</v>
      </c>
      <c r="J133">
        <f t="shared" si="21"/>
        <v>8.5324232081914505E-4</v>
      </c>
    </row>
    <row r="134" spans="1:10" x14ac:dyDescent="0.2">
      <c r="A134">
        <v>40</v>
      </c>
      <c r="B134">
        <v>117.9</v>
      </c>
      <c r="C134">
        <v>117.9</v>
      </c>
      <c r="D134">
        <v>117.9</v>
      </c>
      <c r="G134" s="1">
        <f t="shared" si="19"/>
        <v>117.90000000000002</v>
      </c>
      <c r="H134" s="1">
        <f t="shared" si="20"/>
        <v>1.0048591735576159E-14</v>
      </c>
      <c r="I134">
        <f t="shared" si="21"/>
        <v>1.005972696245734</v>
      </c>
      <c r="J134">
        <f t="shared" si="21"/>
        <v>8.5738837334267573E-17</v>
      </c>
    </row>
    <row r="135" spans="1:10" x14ac:dyDescent="0.2">
      <c r="A135">
        <v>180</v>
      </c>
    </row>
    <row r="139" spans="1:10" x14ac:dyDescent="0.2">
      <c r="A139" t="s">
        <v>12</v>
      </c>
    </row>
    <row r="140" spans="1:10" x14ac:dyDescent="0.2">
      <c r="A140" t="s">
        <v>8</v>
      </c>
      <c r="B140" t="s">
        <v>13</v>
      </c>
      <c r="G140" s="1" t="s">
        <v>44</v>
      </c>
      <c r="H140" s="1" t="s">
        <v>45</v>
      </c>
    </row>
    <row r="141" spans="1:10" x14ac:dyDescent="0.2">
      <c r="A141">
        <v>-5</v>
      </c>
      <c r="B141">
        <v>79.2</v>
      </c>
      <c r="C141">
        <v>79.2</v>
      </c>
      <c r="D141">
        <v>79.2</v>
      </c>
      <c r="G141" s="1">
        <f>AVERAGE(B141:F141)</f>
        <v>79.2</v>
      </c>
      <c r="H141" s="1">
        <f>STDEV(B141:F141)/SQRT(COUNT(B141:F141))</f>
        <v>0</v>
      </c>
      <c r="I141">
        <f>G141/79.2</f>
        <v>1</v>
      </c>
      <c r="J141">
        <f>H141/79.2</f>
        <v>0</v>
      </c>
    </row>
    <row r="142" spans="1:10" x14ac:dyDescent="0.2">
      <c r="A142">
        <v>0</v>
      </c>
      <c r="B142">
        <v>79.2</v>
      </c>
      <c r="C142">
        <v>79.2</v>
      </c>
      <c r="D142">
        <v>79.3</v>
      </c>
      <c r="G142" s="1">
        <f t="shared" ref="G142:G145" si="22">AVERAGE(B142:F142)</f>
        <v>79.233333333333334</v>
      </c>
      <c r="H142" s="1">
        <f t="shared" ref="H142:H145" si="23">STDEV(B142:F142)/SQRT(COUNT(B142:F142))</f>
        <v>3.3333333333331439E-2</v>
      </c>
      <c r="I142">
        <f t="shared" ref="I142:J145" si="24">G142/79.2</f>
        <v>1.0004208754208754</v>
      </c>
      <c r="J142">
        <f t="shared" si="24"/>
        <v>4.2087542087539695E-4</v>
      </c>
    </row>
    <row r="143" spans="1:10" x14ac:dyDescent="0.2">
      <c r="A143">
        <v>5</v>
      </c>
      <c r="B143">
        <v>79.2</v>
      </c>
      <c r="C143">
        <v>79.099999999999994</v>
      </c>
      <c r="D143">
        <v>79.2</v>
      </c>
      <c r="G143" s="1">
        <f t="shared" si="22"/>
        <v>79.166666666666671</v>
      </c>
      <c r="H143" s="1">
        <f t="shared" si="23"/>
        <v>3.3333333333336178E-2</v>
      </c>
      <c r="I143">
        <f t="shared" si="24"/>
        <v>0.99957912457912457</v>
      </c>
      <c r="J143">
        <f t="shared" si="24"/>
        <v>4.208754208754568E-4</v>
      </c>
    </row>
    <row r="144" spans="1:10" x14ac:dyDescent="0.2">
      <c r="A144">
        <v>15</v>
      </c>
      <c r="B144">
        <v>79.2</v>
      </c>
      <c r="C144">
        <v>79.2</v>
      </c>
      <c r="D144">
        <v>79.2</v>
      </c>
      <c r="G144" s="1">
        <f t="shared" si="22"/>
        <v>79.2</v>
      </c>
      <c r="H144" s="1">
        <f t="shared" si="23"/>
        <v>0</v>
      </c>
      <c r="I144">
        <f t="shared" si="24"/>
        <v>1</v>
      </c>
      <c r="J144">
        <f t="shared" si="24"/>
        <v>0</v>
      </c>
    </row>
    <row r="145" spans="1:10" x14ac:dyDescent="0.2">
      <c r="A145">
        <v>40</v>
      </c>
      <c r="B145">
        <v>79.2</v>
      </c>
      <c r="C145">
        <v>79.099999999999994</v>
      </c>
      <c r="D145">
        <v>79.2</v>
      </c>
      <c r="G145" s="1">
        <f t="shared" si="22"/>
        <v>79.166666666666671</v>
      </c>
      <c r="H145" s="1">
        <f t="shared" si="23"/>
        <v>3.3333333333336178E-2</v>
      </c>
      <c r="I145">
        <f t="shared" si="24"/>
        <v>0.99957912457912457</v>
      </c>
      <c r="J145">
        <f t="shared" si="24"/>
        <v>4.208754208754568E-4</v>
      </c>
    </row>
    <row r="147" spans="1:10" x14ac:dyDescent="0.2">
      <c r="A147" t="s">
        <v>8</v>
      </c>
      <c r="B147" t="s">
        <v>23</v>
      </c>
      <c r="G147" s="1" t="s">
        <v>48</v>
      </c>
      <c r="H147" s="1" t="s">
        <v>50</v>
      </c>
    </row>
    <row r="148" spans="1:10" x14ac:dyDescent="0.2">
      <c r="A148">
        <v>-5</v>
      </c>
      <c r="B148">
        <v>38</v>
      </c>
      <c r="C148">
        <v>38</v>
      </c>
      <c r="D148">
        <v>38</v>
      </c>
      <c r="G148" s="1">
        <f>AVERAGE(B148:F148)</f>
        <v>38</v>
      </c>
      <c r="H148" s="1">
        <f>STDEV(B148:F148)/SQRT(COUNT(B148:F148))</f>
        <v>0</v>
      </c>
      <c r="I148">
        <f>G148/38</f>
        <v>1</v>
      </c>
      <c r="J148">
        <f>H148/38</f>
        <v>0</v>
      </c>
    </row>
    <row r="149" spans="1:10" x14ac:dyDescent="0.2">
      <c r="A149">
        <v>0</v>
      </c>
      <c r="B149">
        <v>38</v>
      </c>
      <c r="C149">
        <v>37.9</v>
      </c>
      <c r="D149">
        <v>38</v>
      </c>
      <c r="G149" s="1">
        <f t="shared" ref="G149:G152" si="25">AVERAGE(B149:F149)</f>
        <v>37.966666666666669</v>
      </c>
      <c r="H149" s="1">
        <f t="shared" ref="H149:H152" si="26">STDEV(B149:F149)/SQRT(COUNT(B149:F149))</f>
        <v>3.3333333333333812E-2</v>
      </c>
      <c r="I149">
        <f t="shared" ref="I149:J152" si="27">G149/38</f>
        <v>0.99912280701754386</v>
      </c>
      <c r="J149">
        <f t="shared" si="27"/>
        <v>8.7719298245615294E-4</v>
      </c>
    </row>
    <row r="150" spans="1:10" x14ac:dyDescent="0.2">
      <c r="A150">
        <v>5</v>
      </c>
      <c r="B150">
        <v>38</v>
      </c>
      <c r="C150">
        <v>37.9</v>
      </c>
      <c r="D150">
        <v>38</v>
      </c>
      <c r="G150" s="1">
        <f t="shared" si="25"/>
        <v>37.966666666666669</v>
      </c>
      <c r="H150" s="1">
        <f t="shared" si="26"/>
        <v>3.3333333333333812E-2</v>
      </c>
      <c r="I150">
        <f t="shared" si="27"/>
        <v>0.99912280701754386</v>
      </c>
      <c r="J150">
        <f t="shared" si="27"/>
        <v>8.7719298245615294E-4</v>
      </c>
    </row>
    <row r="151" spans="1:10" x14ac:dyDescent="0.2">
      <c r="A151">
        <v>15</v>
      </c>
      <c r="B151">
        <v>38</v>
      </c>
      <c r="C151">
        <v>38</v>
      </c>
      <c r="D151">
        <v>38</v>
      </c>
      <c r="G151" s="1">
        <f t="shared" si="25"/>
        <v>38</v>
      </c>
      <c r="H151" s="1">
        <f t="shared" si="26"/>
        <v>0</v>
      </c>
      <c r="I151">
        <f t="shared" si="27"/>
        <v>1</v>
      </c>
      <c r="J151">
        <f t="shared" si="27"/>
        <v>0</v>
      </c>
    </row>
    <row r="152" spans="1:10" x14ac:dyDescent="0.2">
      <c r="A152">
        <v>40</v>
      </c>
      <c r="B152">
        <v>37.9</v>
      </c>
      <c r="C152">
        <v>38</v>
      </c>
      <c r="D152">
        <v>37.9</v>
      </c>
      <c r="G152" s="1">
        <f t="shared" si="25"/>
        <v>37.933333333333337</v>
      </c>
      <c r="H152" s="1">
        <f t="shared" si="26"/>
        <v>3.3333333333333805E-2</v>
      </c>
      <c r="I152">
        <f t="shared" si="27"/>
        <v>0.99824561403508782</v>
      </c>
      <c r="J152">
        <f t="shared" si="27"/>
        <v>8.7719298245615273E-4</v>
      </c>
    </row>
    <row r="155" spans="1:10" x14ac:dyDescent="0.2">
      <c r="A155" t="s">
        <v>16</v>
      </c>
    </row>
    <row r="156" spans="1:10" x14ac:dyDescent="0.2">
      <c r="A156" t="s">
        <v>8</v>
      </c>
      <c r="B156" t="s">
        <v>13</v>
      </c>
      <c r="G156" s="1" t="s">
        <v>44</v>
      </c>
      <c r="H156" s="1" t="s">
        <v>45</v>
      </c>
    </row>
    <row r="157" spans="1:10" x14ac:dyDescent="0.2">
      <c r="A157">
        <v>-5</v>
      </c>
      <c r="B157">
        <v>93.7</v>
      </c>
      <c r="C157">
        <v>93.7</v>
      </c>
      <c r="D157">
        <v>93.4</v>
      </c>
      <c r="G157" s="1">
        <f>AVERAGE(B157:F157)</f>
        <v>93.600000000000009</v>
      </c>
      <c r="H157" s="1">
        <f>STDEV(B157:F157)/SQRT(COUNT(B157:F157))</f>
        <v>9.9999999999999062E-2</v>
      </c>
      <c r="I157">
        <f>G157/93.6</f>
        <v>1.0000000000000002</v>
      </c>
      <c r="J157">
        <f>H157/93.6</f>
        <v>1.0683760683760585E-3</v>
      </c>
    </row>
    <row r="158" spans="1:10" x14ac:dyDescent="0.2">
      <c r="A158">
        <v>0</v>
      </c>
      <c r="B158">
        <v>93.7</v>
      </c>
      <c r="C158">
        <v>93.9</v>
      </c>
      <c r="D158">
        <v>93.7</v>
      </c>
      <c r="G158" s="1">
        <f t="shared" ref="G158:G160" si="28">AVERAGE(B158:F158)</f>
        <v>93.766666666666666</v>
      </c>
      <c r="H158" s="1">
        <f t="shared" ref="H158:H160" si="29">STDEV(B158:F158)/SQRT(COUNT(B158:F158))</f>
        <v>6.6666666666667623E-2</v>
      </c>
      <c r="I158">
        <f t="shared" ref="I158:J160" si="30">G158/93.6</f>
        <v>1.0017806267806268</v>
      </c>
      <c r="J158">
        <f t="shared" si="30"/>
        <v>7.1225071225072248E-4</v>
      </c>
    </row>
    <row r="159" spans="1:10" x14ac:dyDescent="0.2">
      <c r="A159">
        <v>5</v>
      </c>
      <c r="B159">
        <v>93.4</v>
      </c>
      <c r="C159">
        <v>93.4</v>
      </c>
      <c r="D159">
        <v>93.4</v>
      </c>
      <c r="G159" s="1">
        <f t="shared" si="28"/>
        <v>93.40000000000002</v>
      </c>
      <c r="H159" s="1">
        <f t="shared" si="29"/>
        <v>1.0048591735576159E-14</v>
      </c>
      <c r="I159">
        <f t="shared" si="30"/>
        <v>0.99786324786324809</v>
      </c>
      <c r="J159">
        <f t="shared" si="30"/>
        <v>1.0735674931171111E-16</v>
      </c>
    </row>
    <row r="160" spans="1:10" x14ac:dyDescent="0.2">
      <c r="A160">
        <v>15</v>
      </c>
      <c r="B160">
        <v>93.7</v>
      </c>
      <c r="C160">
        <v>93.8</v>
      </c>
      <c r="D160">
        <v>93.8</v>
      </c>
      <c r="G160" s="1">
        <f t="shared" si="28"/>
        <v>93.766666666666666</v>
      </c>
      <c r="H160" s="1">
        <f t="shared" si="29"/>
        <v>3.3333333333331439E-2</v>
      </c>
      <c r="I160">
        <f t="shared" si="30"/>
        <v>1.0017806267806268</v>
      </c>
      <c r="J160">
        <f t="shared" si="30"/>
        <v>3.5612535612533592E-4</v>
      </c>
    </row>
    <row r="161" spans="1:10" x14ac:dyDescent="0.2">
      <c r="A161">
        <v>40</v>
      </c>
      <c r="B161" t="s">
        <v>17</v>
      </c>
      <c r="C161" t="s">
        <v>17</v>
      </c>
      <c r="D161" t="s">
        <v>17</v>
      </c>
    </row>
    <row r="163" spans="1:10" x14ac:dyDescent="0.2">
      <c r="A163" t="s">
        <v>8</v>
      </c>
      <c r="B163" t="s">
        <v>23</v>
      </c>
      <c r="G163" s="1" t="s">
        <v>44</v>
      </c>
      <c r="H163" s="1" t="s">
        <v>45</v>
      </c>
    </row>
    <row r="164" spans="1:10" x14ac:dyDescent="0.2">
      <c r="A164">
        <v>-5</v>
      </c>
      <c r="B164">
        <v>131.4</v>
      </c>
      <c r="C164">
        <v>131.5</v>
      </c>
      <c r="D164">
        <v>130.9</v>
      </c>
      <c r="G164" s="1">
        <f>AVERAGE(B164:F164)</f>
        <v>131.26666666666665</v>
      </c>
      <c r="H164" s="1">
        <f>STDEV(B164:F164)/SQRT(COUNT(B164:F164))</f>
        <v>0.18559214542766622</v>
      </c>
      <c r="I164">
        <f>G164/131.27</f>
        <v>0.99997460704400576</v>
      </c>
      <c r="J164">
        <f>H164/131.27</f>
        <v>1.4138199545034372E-3</v>
      </c>
    </row>
    <row r="165" spans="1:10" x14ac:dyDescent="0.2">
      <c r="A165">
        <v>0</v>
      </c>
      <c r="B165">
        <v>131</v>
      </c>
      <c r="C165">
        <v>130.9</v>
      </c>
      <c r="D165">
        <v>130.6</v>
      </c>
      <c r="G165" s="1">
        <f t="shared" ref="G165:G167" si="31">AVERAGE(B165:F165)</f>
        <v>130.83333333333334</v>
      </c>
      <c r="H165" s="1">
        <f t="shared" ref="H165:H167" si="32">STDEV(B165:F165)/SQRT(COUNT(B165:F165))</f>
        <v>0.12018504251546869</v>
      </c>
      <c r="I165">
        <f t="shared" ref="I165:J167" si="33">G165/131.27</f>
        <v>0.99667352276478505</v>
      </c>
      <c r="J165">
        <f t="shared" si="33"/>
        <v>9.1555604871995644E-4</v>
      </c>
    </row>
    <row r="166" spans="1:10" x14ac:dyDescent="0.2">
      <c r="A166">
        <v>5</v>
      </c>
      <c r="B166">
        <v>130.80000000000001</v>
      </c>
      <c r="C166">
        <v>130.80000000000001</v>
      </c>
      <c r="D166">
        <v>130.80000000000001</v>
      </c>
      <c r="G166" s="1">
        <f t="shared" si="31"/>
        <v>130.80000000000001</v>
      </c>
      <c r="H166" s="1">
        <f t="shared" si="32"/>
        <v>0</v>
      </c>
      <c r="I166">
        <f t="shared" si="33"/>
        <v>0.99641959320484497</v>
      </c>
      <c r="J166">
        <f t="shared" si="33"/>
        <v>0</v>
      </c>
    </row>
    <row r="167" spans="1:10" x14ac:dyDescent="0.2">
      <c r="A167">
        <v>15</v>
      </c>
      <c r="B167">
        <v>131</v>
      </c>
      <c r="C167">
        <v>131.30000000000001</v>
      </c>
      <c r="D167">
        <v>131.30000000000001</v>
      </c>
      <c r="G167" s="1">
        <f t="shared" si="31"/>
        <v>131.20000000000002</v>
      </c>
      <c r="H167" s="1">
        <f t="shared" si="32"/>
        <v>0.10000000000000381</v>
      </c>
      <c r="I167">
        <f t="shared" si="33"/>
        <v>0.99946674792412593</v>
      </c>
      <c r="J167">
        <f t="shared" si="33"/>
        <v>7.6178867982024687E-4</v>
      </c>
    </row>
    <row r="168" spans="1:10" x14ac:dyDescent="0.2">
      <c r="A168">
        <v>40</v>
      </c>
      <c r="B168" t="s">
        <v>17</v>
      </c>
      <c r="C168" t="s">
        <v>17</v>
      </c>
      <c r="D168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3A3-7641-5D49-8882-2753E3F6BA3C}">
  <dimension ref="A1:L53"/>
  <sheetViews>
    <sheetView zoomScale="90" zoomScaleNormal="90" workbookViewId="0">
      <selection activeCell="L16" sqref="L16"/>
    </sheetView>
  </sheetViews>
  <sheetFormatPr baseColWidth="10" defaultRowHeight="16" x14ac:dyDescent="0.2"/>
  <sheetData>
    <row r="1" spans="1:12" x14ac:dyDescent="0.2">
      <c r="A1" t="s">
        <v>14</v>
      </c>
      <c r="I1" t="s">
        <v>27</v>
      </c>
    </row>
    <row r="2" spans="1:12" x14ac:dyDescent="0.2">
      <c r="C2" t="s">
        <v>20</v>
      </c>
      <c r="D2" t="s">
        <v>21</v>
      </c>
      <c r="E2" t="s">
        <v>20</v>
      </c>
      <c r="F2" t="s">
        <v>13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28</v>
      </c>
    </row>
    <row r="3" spans="1:12" x14ac:dyDescent="0.2">
      <c r="A3" t="s">
        <v>8</v>
      </c>
      <c r="B3" t="s">
        <v>29</v>
      </c>
      <c r="C3" t="s">
        <v>1</v>
      </c>
      <c r="D3" t="s">
        <v>18</v>
      </c>
      <c r="E3" t="s">
        <v>19</v>
      </c>
    </row>
    <row r="4" spans="1:12" x14ac:dyDescent="0.2">
      <c r="A4">
        <v>0</v>
      </c>
      <c r="B4" t="s">
        <v>30</v>
      </c>
      <c r="C4">
        <v>4.38</v>
      </c>
      <c r="E4">
        <v>0.1</v>
      </c>
      <c r="F4">
        <v>72.099999999999994</v>
      </c>
      <c r="G4">
        <v>103.8</v>
      </c>
      <c r="H4">
        <v>117.8</v>
      </c>
      <c r="I4">
        <v>400</v>
      </c>
      <c r="J4">
        <v>400</v>
      </c>
      <c r="K4">
        <v>150</v>
      </c>
      <c r="L4">
        <f>I4*J4*K4</f>
        <v>24000000</v>
      </c>
    </row>
    <row r="5" spans="1:12" x14ac:dyDescent="0.2">
      <c r="A5">
        <v>0</v>
      </c>
      <c r="B5" t="s">
        <v>30</v>
      </c>
      <c r="C5">
        <v>2.5</v>
      </c>
      <c r="E5">
        <v>0.1</v>
      </c>
      <c r="F5">
        <v>72.2</v>
      </c>
      <c r="G5">
        <v>104.8</v>
      </c>
      <c r="H5">
        <v>118.2</v>
      </c>
      <c r="I5">
        <v>400</v>
      </c>
      <c r="J5">
        <v>400</v>
      </c>
      <c r="K5">
        <v>150</v>
      </c>
      <c r="L5">
        <f t="shared" ref="L5:L19" si="0">I5*J5*K5</f>
        <v>24000000</v>
      </c>
    </row>
    <row r="6" spans="1:12" x14ac:dyDescent="0.2">
      <c r="A6">
        <v>0</v>
      </c>
      <c r="B6" t="s">
        <v>30</v>
      </c>
      <c r="C6">
        <v>2.36</v>
      </c>
      <c r="E6">
        <v>0.1</v>
      </c>
      <c r="L6">
        <f t="shared" si="0"/>
        <v>0</v>
      </c>
    </row>
    <row r="7" spans="1:12" x14ac:dyDescent="0.2">
      <c r="A7">
        <v>5</v>
      </c>
      <c r="B7" t="s">
        <v>30</v>
      </c>
      <c r="C7">
        <v>0.69</v>
      </c>
      <c r="E7">
        <v>0.4</v>
      </c>
      <c r="F7">
        <v>72.3</v>
      </c>
      <c r="G7">
        <v>104.6</v>
      </c>
      <c r="H7">
        <v>118</v>
      </c>
      <c r="I7">
        <v>300</v>
      </c>
      <c r="J7">
        <v>300</v>
      </c>
      <c r="K7">
        <v>300</v>
      </c>
      <c r="L7">
        <f t="shared" si="0"/>
        <v>27000000</v>
      </c>
    </row>
    <row r="8" spans="1:12" x14ac:dyDescent="0.2">
      <c r="A8">
        <v>5</v>
      </c>
      <c r="B8" t="s">
        <v>31</v>
      </c>
      <c r="D8">
        <v>0.54</v>
      </c>
      <c r="E8">
        <v>0.7</v>
      </c>
      <c r="F8">
        <v>72.099999999999994</v>
      </c>
      <c r="G8">
        <v>104.5</v>
      </c>
      <c r="H8">
        <v>117.8</v>
      </c>
      <c r="I8">
        <v>400</v>
      </c>
      <c r="J8">
        <v>200</v>
      </c>
      <c r="K8">
        <v>100</v>
      </c>
      <c r="L8">
        <f t="shared" si="0"/>
        <v>8000000</v>
      </c>
    </row>
    <row r="9" spans="1:12" x14ac:dyDescent="0.2">
      <c r="A9">
        <v>5</v>
      </c>
      <c r="B9" t="s">
        <v>30</v>
      </c>
      <c r="C9">
        <v>1.18</v>
      </c>
      <c r="E9">
        <v>0.5</v>
      </c>
      <c r="F9">
        <v>72.099999999999994</v>
      </c>
      <c r="G9">
        <v>104.5</v>
      </c>
      <c r="H9">
        <v>117.9</v>
      </c>
      <c r="I9">
        <v>400</v>
      </c>
      <c r="J9">
        <v>200</v>
      </c>
      <c r="K9">
        <v>100</v>
      </c>
      <c r="L9">
        <f t="shared" si="0"/>
        <v>8000000</v>
      </c>
    </row>
    <row r="10" spans="1:12" x14ac:dyDescent="0.2">
      <c r="A10">
        <v>15</v>
      </c>
      <c r="B10" t="s">
        <v>30</v>
      </c>
      <c r="C10">
        <v>0.79</v>
      </c>
      <c r="E10">
        <v>0.5</v>
      </c>
      <c r="F10">
        <v>72.099999999999994</v>
      </c>
      <c r="G10">
        <v>104.7</v>
      </c>
      <c r="H10">
        <v>117.6</v>
      </c>
      <c r="I10">
        <v>600</v>
      </c>
      <c r="J10">
        <v>300</v>
      </c>
      <c r="K10">
        <v>100</v>
      </c>
      <c r="L10">
        <f t="shared" si="0"/>
        <v>18000000</v>
      </c>
    </row>
    <row r="11" spans="1:12" x14ac:dyDescent="0.2">
      <c r="A11">
        <v>15</v>
      </c>
      <c r="B11" t="s">
        <v>31</v>
      </c>
      <c r="D11">
        <v>0.62</v>
      </c>
      <c r="E11">
        <v>0.4</v>
      </c>
      <c r="F11">
        <v>71.8</v>
      </c>
      <c r="G11">
        <v>104.2</v>
      </c>
      <c r="H11">
        <v>117.6</v>
      </c>
      <c r="I11">
        <v>400</v>
      </c>
      <c r="J11">
        <v>250</v>
      </c>
      <c r="K11">
        <v>100</v>
      </c>
      <c r="L11">
        <f t="shared" si="0"/>
        <v>10000000</v>
      </c>
    </row>
    <row r="12" spans="1:12" x14ac:dyDescent="0.2">
      <c r="A12">
        <v>15</v>
      </c>
      <c r="B12" t="s">
        <v>31</v>
      </c>
      <c r="D12">
        <v>0.5</v>
      </c>
      <c r="E12">
        <v>0.4</v>
      </c>
      <c r="F12">
        <v>72.099999999999994</v>
      </c>
      <c r="G12">
        <v>104.5</v>
      </c>
      <c r="H12">
        <v>117.9</v>
      </c>
      <c r="I12">
        <v>400</v>
      </c>
      <c r="J12">
        <v>400</v>
      </c>
      <c r="K12">
        <v>150</v>
      </c>
      <c r="L12">
        <f t="shared" si="0"/>
        <v>24000000</v>
      </c>
    </row>
    <row r="13" spans="1:12" x14ac:dyDescent="0.2">
      <c r="A13">
        <v>40</v>
      </c>
      <c r="B13" t="s">
        <v>31</v>
      </c>
      <c r="D13">
        <v>0.5</v>
      </c>
      <c r="E13">
        <v>1.5</v>
      </c>
      <c r="F13">
        <v>72.099999999999994</v>
      </c>
      <c r="G13">
        <v>104.6</v>
      </c>
      <c r="H13">
        <v>117.9</v>
      </c>
      <c r="I13">
        <v>400</v>
      </c>
      <c r="J13">
        <v>400</v>
      </c>
      <c r="K13">
        <v>150</v>
      </c>
      <c r="L13">
        <f t="shared" si="0"/>
        <v>24000000</v>
      </c>
    </row>
    <row r="14" spans="1:12" x14ac:dyDescent="0.2">
      <c r="A14">
        <v>40</v>
      </c>
      <c r="B14" t="s">
        <v>31</v>
      </c>
      <c r="D14">
        <v>0.53</v>
      </c>
      <c r="E14">
        <v>1</v>
      </c>
      <c r="F14">
        <v>72.2</v>
      </c>
      <c r="G14">
        <v>104.4</v>
      </c>
      <c r="H14">
        <v>117.9</v>
      </c>
      <c r="I14">
        <v>500</v>
      </c>
      <c r="J14">
        <v>400</v>
      </c>
      <c r="K14">
        <v>150</v>
      </c>
      <c r="L14">
        <f t="shared" si="0"/>
        <v>30000000</v>
      </c>
    </row>
    <row r="15" spans="1:12" x14ac:dyDescent="0.2">
      <c r="A15">
        <v>40</v>
      </c>
      <c r="B15" t="s">
        <v>31</v>
      </c>
      <c r="D15">
        <v>0.53</v>
      </c>
      <c r="E15">
        <v>1.5</v>
      </c>
      <c r="F15">
        <v>72.099999999999994</v>
      </c>
      <c r="G15">
        <v>104.6</v>
      </c>
      <c r="H15">
        <v>117.9</v>
      </c>
      <c r="I15">
        <v>700</v>
      </c>
      <c r="J15">
        <v>500</v>
      </c>
      <c r="K15">
        <v>200</v>
      </c>
      <c r="L15">
        <f t="shared" si="0"/>
        <v>70000000</v>
      </c>
    </row>
    <row r="16" spans="1:12" x14ac:dyDescent="0.2">
      <c r="A16">
        <v>180</v>
      </c>
      <c r="B16" t="s">
        <v>31</v>
      </c>
      <c r="D16">
        <v>0.53</v>
      </c>
      <c r="F16">
        <v>72.2</v>
      </c>
      <c r="G16">
        <v>104.5</v>
      </c>
      <c r="H16">
        <v>118</v>
      </c>
      <c r="I16">
        <v>800</v>
      </c>
      <c r="J16">
        <v>500</v>
      </c>
      <c r="K16">
        <v>200</v>
      </c>
      <c r="L16">
        <f t="shared" si="0"/>
        <v>80000000</v>
      </c>
    </row>
    <row r="17" spans="1:12" x14ac:dyDescent="0.2">
      <c r="A17">
        <v>-5</v>
      </c>
      <c r="B17" t="s">
        <v>31</v>
      </c>
      <c r="D17">
        <v>0.6</v>
      </c>
      <c r="E17">
        <v>0.6</v>
      </c>
      <c r="F17">
        <v>71.3</v>
      </c>
      <c r="G17">
        <v>103.7</v>
      </c>
      <c r="H17">
        <v>116.4</v>
      </c>
      <c r="I17">
        <v>700</v>
      </c>
      <c r="J17">
        <v>500</v>
      </c>
      <c r="K17">
        <v>150</v>
      </c>
      <c r="L17">
        <f t="shared" si="0"/>
        <v>52500000</v>
      </c>
    </row>
    <row r="18" spans="1:12" x14ac:dyDescent="0.2">
      <c r="A18">
        <v>-5</v>
      </c>
      <c r="B18" t="s">
        <v>31</v>
      </c>
      <c r="D18">
        <v>0.55000000000000004</v>
      </c>
      <c r="E18">
        <v>0.6</v>
      </c>
      <c r="F18">
        <v>72.400000000000006</v>
      </c>
      <c r="G18">
        <v>104.5</v>
      </c>
      <c r="H18">
        <v>117.3</v>
      </c>
      <c r="I18">
        <v>800</v>
      </c>
      <c r="J18">
        <v>400</v>
      </c>
      <c r="K18">
        <v>150</v>
      </c>
      <c r="L18">
        <f t="shared" si="0"/>
        <v>48000000</v>
      </c>
    </row>
    <row r="19" spans="1:12" x14ac:dyDescent="0.2">
      <c r="A19">
        <v>-5</v>
      </c>
      <c r="B19" t="s">
        <v>31</v>
      </c>
      <c r="D19">
        <v>0.55000000000000004</v>
      </c>
      <c r="E19">
        <v>0.8</v>
      </c>
      <c r="F19">
        <v>72</v>
      </c>
      <c r="G19">
        <v>104.8</v>
      </c>
      <c r="H19">
        <v>117</v>
      </c>
      <c r="I19">
        <v>600</v>
      </c>
      <c r="J19">
        <v>300</v>
      </c>
      <c r="K19">
        <v>100</v>
      </c>
      <c r="L19">
        <f t="shared" si="0"/>
        <v>18000000</v>
      </c>
    </row>
    <row r="20" spans="1:12" x14ac:dyDescent="0.2">
      <c r="A20">
        <v>-5</v>
      </c>
    </row>
    <row r="22" spans="1:12" x14ac:dyDescent="0.2">
      <c r="A22" t="s">
        <v>12</v>
      </c>
      <c r="H22">
        <f>AVERAGE(0.5,0.62)</f>
        <v>0.56000000000000005</v>
      </c>
      <c r="I22">
        <f>STDEV(0.5,0.62)/1.4</f>
        <v>6.0609152673132584E-2</v>
      </c>
    </row>
    <row r="23" spans="1:12" x14ac:dyDescent="0.2">
      <c r="A23" t="s">
        <v>8</v>
      </c>
      <c r="C23" t="s">
        <v>1</v>
      </c>
      <c r="E23" t="s">
        <v>19</v>
      </c>
      <c r="F23" t="s">
        <v>13</v>
      </c>
      <c r="G23" t="s">
        <v>22</v>
      </c>
    </row>
    <row r="24" spans="1:12" x14ac:dyDescent="0.2">
      <c r="A24">
        <v>0</v>
      </c>
      <c r="B24" t="s">
        <v>30</v>
      </c>
      <c r="C24">
        <v>0.51</v>
      </c>
      <c r="E24">
        <v>10.1</v>
      </c>
      <c r="F24">
        <v>79.2</v>
      </c>
      <c r="G24">
        <v>38</v>
      </c>
      <c r="I24">
        <v>300</v>
      </c>
      <c r="J24">
        <v>300</v>
      </c>
      <c r="K24">
        <v>100</v>
      </c>
      <c r="L24">
        <f t="shared" ref="L24:L38" si="1">I24*J24*K24</f>
        <v>9000000</v>
      </c>
    </row>
    <row r="25" spans="1:12" x14ac:dyDescent="0.2">
      <c r="A25">
        <v>0</v>
      </c>
      <c r="B25" t="s">
        <v>30</v>
      </c>
      <c r="C25">
        <v>0.51</v>
      </c>
      <c r="E25">
        <v>5</v>
      </c>
      <c r="F25">
        <v>79.2</v>
      </c>
      <c r="G25">
        <v>37.9</v>
      </c>
      <c r="I25">
        <v>300</v>
      </c>
      <c r="J25">
        <v>300</v>
      </c>
      <c r="K25">
        <v>100</v>
      </c>
      <c r="L25">
        <f t="shared" si="1"/>
        <v>9000000</v>
      </c>
    </row>
    <row r="26" spans="1:12" x14ac:dyDescent="0.2">
      <c r="A26">
        <v>0</v>
      </c>
      <c r="B26" t="s">
        <v>30</v>
      </c>
      <c r="C26">
        <v>0.49</v>
      </c>
      <c r="E26">
        <v>7.6</v>
      </c>
      <c r="F26">
        <v>79.2</v>
      </c>
      <c r="G26">
        <v>38</v>
      </c>
      <c r="I26">
        <v>400</v>
      </c>
      <c r="J26">
        <v>300</v>
      </c>
      <c r="K26">
        <v>200</v>
      </c>
      <c r="L26">
        <f t="shared" si="1"/>
        <v>24000000</v>
      </c>
    </row>
    <row r="27" spans="1:12" x14ac:dyDescent="0.2">
      <c r="A27">
        <v>5</v>
      </c>
      <c r="B27" t="s">
        <v>31</v>
      </c>
      <c r="C27">
        <v>0.5</v>
      </c>
      <c r="E27">
        <v>6</v>
      </c>
      <c r="F27">
        <v>79.2</v>
      </c>
      <c r="G27">
        <v>38</v>
      </c>
      <c r="I27">
        <v>200</v>
      </c>
      <c r="J27">
        <v>200</v>
      </c>
      <c r="K27">
        <v>100</v>
      </c>
      <c r="L27">
        <f t="shared" si="1"/>
        <v>4000000</v>
      </c>
    </row>
    <row r="28" spans="1:12" x14ac:dyDescent="0.2">
      <c r="A28">
        <v>5</v>
      </c>
      <c r="B28" t="s">
        <v>31</v>
      </c>
      <c r="C28">
        <v>0.54</v>
      </c>
      <c r="E28">
        <v>6.3</v>
      </c>
      <c r="F28">
        <v>79.099999999999994</v>
      </c>
      <c r="G28">
        <v>37.9</v>
      </c>
      <c r="I28">
        <v>300</v>
      </c>
      <c r="J28">
        <v>300</v>
      </c>
      <c r="K28">
        <v>100</v>
      </c>
      <c r="L28">
        <f t="shared" si="1"/>
        <v>9000000</v>
      </c>
    </row>
    <row r="29" spans="1:12" x14ac:dyDescent="0.2">
      <c r="A29">
        <v>5</v>
      </c>
      <c r="B29" t="s">
        <v>31</v>
      </c>
      <c r="C29">
        <v>0.49</v>
      </c>
      <c r="E29">
        <v>5.3</v>
      </c>
      <c r="F29">
        <v>79.3</v>
      </c>
      <c r="G29">
        <v>38</v>
      </c>
      <c r="I29">
        <v>300</v>
      </c>
      <c r="J29">
        <v>300</v>
      </c>
      <c r="K29">
        <v>150</v>
      </c>
      <c r="L29">
        <f t="shared" si="1"/>
        <v>13500000</v>
      </c>
    </row>
    <row r="30" spans="1:12" x14ac:dyDescent="0.2">
      <c r="A30">
        <v>15</v>
      </c>
      <c r="B30" t="s">
        <v>31</v>
      </c>
      <c r="C30">
        <v>0.5</v>
      </c>
      <c r="E30">
        <v>7.3</v>
      </c>
      <c r="F30">
        <v>79.2</v>
      </c>
      <c r="G30">
        <v>38</v>
      </c>
      <c r="I30">
        <v>350</v>
      </c>
      <c r="J30">
        <v>350</v>
      </c>
      <c r="K30">
        <v>150</v>
      </c>
      <c r="L30">
        <f t="shared" si="1"/>
        <v>18375000</v>
      </c>
    </row>
    <row r="31" spans="1:12" x14ac:dyDescent="0.2">
      <c r="A31">
        <v>15</v>
      </c>
      <c r="B31" t="s">
        <v>31</v>
      </c>
      <c r="C31">
        <v>0.51</v>
      </c>
      <c r="E31">
        <v>6.7</v>
      </c>
      <c r="F31">
        <v>79.2</v>
      </c>
      <c r="G31">
        <v>38</v>
      </c>
      <c r="I31">
        <v>250</v>
      </c>
      <c r="J31">
        <v>250</v>
      </c>
      <c r="K31">
        <v>100</v>
      </c>
      <c r="L31">
        <f t="shared" si="1"/>
        <v>6250000</v>
      </c>
    </row>
    <row r="32" spans="1:12" x14ac:dyDescent="0.2">
      <c r="A32">
        <v>15</v>
      </c>
      <c r="B32" t="s">
        <v>31</v>
      </c>
      <c r="C32">
        <v>0.49</v>
      </c>
      <c r="E32">
        <v>8.3000000000000007</v>
      </c>
      <c r="F32">
        <v>79.2</v>
      </c>
      <c r="G32">
        <v>38</v>
      </c>
      <c r="I32">
        <v>300</v>
      </c>
      <c r="J32">
        <v>250</v>
      </c>
      <c r="K32">
        <v>150</v>
      </c>
      <c r="L32">
        <f t="shared" si="1"/>
        <v>11250000</v>
      </c>
    </row>
    <row r="33" spans="1:12" x14ac:dyDescent="0.2">
      <c r="A33">
        <v>40</v>
      </c>
      <c r="B33" t="s">
        <v>31</v>
      </c>
      <c r="C33">
        <v>0.5</v>
      </c>
      <c r="E33">
        <v>8.3000000000000007</v>
      </c>
      <c r="F33">
        <v>79.2</v>
      </c>
      <c r="G33">
        <v>37.9</v>
      </c>
      <c r="I33">
        <v>350</v>
      </c>
      <c r="J33">
        <v>350</v>
      </c>
      <c r="K33">
        <v>150</v>
      </c>
      <c r="L33">
        <f t="shared" si="1"/>
        <v>18375000</v>
      </c>
    </row>
    <row r="34" spans="1:12" x14ac:dyDescent="0.2">
      <c r="A34">
        <v>40</v>
      </c>
      <c r="B34" t="s">
        <v>31</v>
      </c>
      <c r="C34">
        <v>0.48</v>
      </c>
      <c r="E34">
        <v>2.8</v>
      </c>
      <c r="F34">
        <v>79.099999999999994</v>
      </c>
      <c r="G34">
        <v>38</v>
      </c>
      <c r="I34">
        <v>300</v>
      </c>
      <c r="J34">
        <v>300</v>
      </c>
      <c r="K34">
        <v>100</v>
      </c>
      <c r="L34">
        <f t="shared" si="1"/>
        <v>9000000</v>
      </c>
    </row>
    <row r="35" spans="1:12" x14ac:dyDescent="0.2">
      <c r="A35">
        <v>40</v>
      </c>
      <c r="B35" t="s">
        <v>31</v>
      </c>
      <c r="C35">
        <v>0.5</v>
      </c>
      <c r="E35">
        <v>9.1</v>
      </c>
      <c r="F35">
        <v>79.2</v>
      </c>
      <c r="G35">
        <v>37.9</v>
      </c>
      <c r="I35">
        <v>400</v>
      </c>
      <c r="J35">
        <v>400</v>
      </c>
      <c r="K35">
        <v>200</v>
      </c>
      <c r="L35">
        <f t="shared" si="1"/>
        <v>32000000</v>
      </c>
    </row>
    <row r="36" spans="1:12" x14ac:dyDescent="0.2">
      <c r="A36">
        <v>-5</v>
      </c>
      <c r="B36" t="s">
        <v>31</v>
      </c>
      <c r="C36">
        <v>0.51</v>
      </c>
      <c r="E36">
        <v>5.8</v>
      </c>
      <c r="F36">
        <v>79.2</v>
      </c>
      <c r="G36">
        <v>38</v>
      </c>
      <c r="I36">
        <v>300</v>
      </c>
      <c r="J36">
        <v>300</v>
      </c>
      <c r="K36">
        <v>100</v>
      </c>
      <c r="L36">
        <f t="shared" si="1"/>
        <v>9000000</v>
      </c>
    </row>
    <row r="37" spans="1:12" x14ac:dyDescent="0.2">
      <c r="A37">
        <v>-5</v>
      </c>
      <c r="B37" t="s">
        <v>31</v>
      </c>
      <c r="C37">
        <v>0.5</v>
      </c>
      <c r="E37">
        <v>6.3</v>
      </c>
      <c r="F37">
        <v>79.2</v>
      </c>
      <c r="G37">
        <v>38</v>
      </c>
      <c r="I37">
        <v>200</v>
      </c>
      <c r="J37">
        <v>200</v>
      </c>
      <c r="K37">
        <v>100</v>
      </c>
      <c r="L37">
        <f t="shared" si="1"/>
        <v>4000000</v>
      </c>
    </row>
    <row r="38" spans="1:12" x14ac:dyDescent="0.2">
      <c r="A38">
        <v>-5</v>
      </c>
      <c r="B38" t="s">
        <v>31</v>
      </c>
      <c r="C38">
        <v>0.51</v>
      </c>
      <c r="E38">
        <v>10.1</v>
      </c>
      <c r="F38">
        <v>79.2</v>
      </c>
      <c r="G38">
        <v>38</v>
      </c>
      <c r="I38">
        <v>300</v>
      </c>
      <c r="J38">
        <v>300</v>
      </c>
      <c r="K38">
        <v>100</v>
      </c>
      <c r="L38">
        <f t="shared" si="1"/>
        <v>9000000</v>
      </c>
    </row>
    <row r="40" spans="1:12" x14ac:dyDescent="0.2">
      <c r="A40" t="s">
        <v>16</v>
      </c>
    </row>
    <row r="41" spans="1:12" x14ac:dyDescent="0.2">
      <c r="A41" t="s">
        <v>8</v>
      </c>
      <c r="C41" t="s">
        <v>1</v>
      </c>
    </row>
    <row r="42" spans="1:12" x14ac:dyDescent="0.2">
      <c r="A42">
        <v>0</v>
      </c>
      <c r="B42" t="s">
        <v>30</v>
      </c>
      <c r="C42">
        <v>0.5</v>
      </c>
      <c r="E42">
        <v>0.3</v>
      </c>
      <c r="F42">
        <v>93.7</v>
      </c>
      <c r="G42">
        <v>131</v>
      </c>
      <c r="I42">
        <v>80</v>
      </c>
      <c r="J42">
        <v>20</v>
      </c>
      <c r="L42">
        <f>3.14*(I42/2)^2*J42</f>
        <v>100480</v>
      </c>
    </row>
    <row r="43" spans="1:12" x14ac:dyDescent="0.2">
      <c r="A43">
        <v>0</v>
      </c>
      <c r="B43" t="s">
        <v>30</v>
      </c>
      <c r="C43">
        <v>0.48</v>
      </c>
      <c r="E43">
        <v>0.2</v>
      </c>
      <c r="F43">
        <v>93.9</v>
      </c>
      <c r="G43">
        <v>130.9</v>
      </c>
      <c r="I43">
        <v>90</v>
      </c>
      <c r="J43">
        <v>20</v>
      </c>
      <c r="L43">
        <f>3.14*(I43/2)^2*J43</f>
        <v>127170</v>
      </c>
    </row>
    <row r="44" spans="1:12" x14ac:dyDescent="0.2">
      <c r="A44">
        <v>0</v>
      </c>
      <c r="B44" t="s">
        <v>30</v>
      </c>
      <c r="C44">
        <v>0.45</v>
      </c>
      <c r="E44">
        <v>0.2</v>
      </c>
      <c r="F44">
        <v>93.7</v>
      </c>
      <c r="G44">
        <v>130.6</v>
      </c>
      <c r="I44">
        <v>90</v>
      </c>
      <c r="J44">
        <v>20</v>
      </c>
      <c r="L44">
        <f>3.14*(I44/2)^2*J44</f>
        <v>127170</v>
      </c>
    </row>
    <row r="45" spans="1:12" x14ac:dyDescent="0.2">
      <c r="A45">
        <v>5</v>
      </c>
      <c r="B45" t="s">
        <v>31</v>
      </c>
      <c r="C45">
        <v>0.45</v>
      </c>
      <c r="E45">
        <v>0.9</v>
      </c>
      <c r="F45">
        <v>93.4</v>
      </c>
      <c r="G45">
        <v>130.80000000000001</v>
      </c>
      <c r="I45">
        <v>500</v>
      </c>
      <c r="J45">
        <v>70</v>
      </c>
      <c r="L45">
        <f>I45*3.14*(J45/2)^2</f>
        <v>1923250</v>
      </c>
    </row>
    <row r="46" spans="1:12" x14ac:dyDescent="0.2">
      <c r="A46">
        <v>5</v>
      </c>
      <c r="B46" t="s">
        <v>31</v>
      </c>
      <c r="C46">
        <v>0.46</v>
      </c>
      <c r="E46">
        <v>1.1000000000000001</v>
      </c>
      <c r="F46">
        <v>93.4</v>
      </c>
      <c r="G46">
        <v>130.80000000000001</v>
      </c>
      <c r="I46">
        <v>500</v>
      </c>
      <c r="J46">
        <v>70</v>
      </c>
      <c r="L46">
        <f t="shared" ref="L46:L50" si="2">I46*3.14*(J46/2)^2</f>
        <v>1923250</v>
      </c>
    </row>
    <row r="47" spans="1:12" x14ac:dyDescent="0.2">
      <c r="A47">
        <v>5</v>
      </c>
      <c r="B47" t="s">
        <v>31</v>
      </c>
      <c r="C47">
        <v>0.45</v>
      </c>
      <c r="E47">
        <v>0.9</v>
      </c>
      <c r="F47">
        <v>93.4</v>
      </c>
      <c r="G47">
        <v>130.80000000000001</v>
      </c>
      <c r="I47">
        <v>500</v>
      </c>
      <c r="J47">
        <v>70</v>
      </c>
      <c r="L47">
        <f t="shared" si="2"/>
        <v>1923250</v>
      </c>
    </row>
    <row r="48" spans="1:12" x14ac:dyDescent="0.2">
      <c r="A48">
        <v>15</v>
      </c>
      <c r="B48" t="s">
        <v>31</v>
      </c>
      <c r="C48">
        <v>0.52</v>
      </c>
      <c r="E48">
        <v>0.7</v>
      </c>
      <c r="F48">
        <v>93.7</v>
      </c>
      <c r="G48">
        <v>131</v>
      </c>
      <c r="I48">
        <v>400</v>
      </c>
      <c r="J48">
        <v>70</v>
      </c>
      <c r="L48">
        <f t="shared" si="2"/>
        <v>1538600</v>
      </c>
    </row>
    <row r="49" spans="1:12" x14ac:dyDescent="0.2">
      <c r="A49">
        <v>15</v>
      </c>
      <c r="B49" t="s">
        <v>31</v>
      </c>
      <c r="C49">
        <v>0.44</v>
      </c>
      <c r="E49">
        <v>0.7</v>
      </c>
      <c r="F49">
        <v>93.8</v>
      </c>
      <c r="G49">
        <v>131.30000000000001</v>
      </c>
      <c r="I49">
        <v>400</v>
      </c>
      <c r="J49">
        <v>70</v>
      </c>
      <c r="L49">
        <f t="shared" si="2"/>
        <v>1538600</v>
      </c>
    </row>
    <row r="50" spans="1:12" x14ac:dyDescent="0.2">
      <c r="A50">
        <v>15</v>
      </c>
      <c r="B50" t="s">
        <v>31</v>
      </c>
      <c r="C50">
        <v>0.44</v>
      </c>
      <c r="E50">
        <v>0.7</v>
      </c>
      <c r="F50">
        <v>93.8</v>
      </c>
      <c r="G50">
        <v>131.30000000000001</v>
      </c>
      <c r="I50">
        <v>400</v>
      </c>
      <c r="J50">
        <v>70</v>
      </c>
      <c r="L50">
        <f t="shared" si="2"/>
        <v>1538600</v>
      </c>
    </row>
    <row r="51" spans="1:12" x14ac:dyDescent="0.2">
      <c r="A51">
        <v>-5</v>
      </c>
      <c r="B51" t="s">
        <v>31</v>
      </c>
      <c r="C51">
        <v>0.45</v>
      </c>
      <c r="E51">
        <v>0.8</v>
      </c>
      <c r="F51">
        <v>93.7</v>
      </c>
      <c r="G51">
        <v>131.4</v>
      </c>
      <c r="I51">
        <v>300</v>
      </c>
      <c r="J51">
        <v>80</v>
      </c>
      <c r="L51">
        <f>I51*3.14*(J51/2)^2</f>
        <v>1507200</v>
      </c>
    </row>
    <row r="52" spans="1:12" x14ac:dyDescent="0.2">
      <c r="A52">
        <v>-5</v>
      </c>
      <c r="B52" t="s">
        <v>31</v>
      </c>
      <c r="C52">
        <v>0.45</v>
      </c>
      <c r="E52">
        <v>1.1000000000000001</v>
      </c>
      <c r="F52">
        <v>93.9</v>
      </c>
      <c r="G52">
        <v>131.9</v>
      </c>
      <c r="I52">
        <v>300</v>
      </c>
      <c r="J52">
        <v>80</v>
      </c>
      <c r="L52">
        <f t="shared" ref="L52:L53" si="3">I52*3.14*(J52/2)^2</f>
        <v>1507200</v>
      </c>
    </row>
    <row r="53" spans="1:12" x14ac:dyDescent="0.2">
      <c r="A53">
        <v>-5</v>
      </c>
      <c r="B53" t="s">
        <v>31</v>
      </c>
      <c r="C53">
        <v>0.47</v>
      </c>
      <c r="E53">
        <v>0.7</v>
      </c>
      <c r="F53">
        <v>93.7</v>
      </c>
      <c r="G53">
        <v>131.5</v>
      </c>
      <c r="I53">
        <v>300</v>
      </c>
      <c r="J53">
        <v>70</v>
      </c>
      <c r="L53">
        <f t="shared" si="3"/>
        <v>1153950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RH Flow Data 0.5 degrees avgs</vt:lpstr>
      <vt:lpstr>MicroRT Data 0.3 degrees - avgs</vt:lpstr>
      <vt:lpstr>MicroRT Data 0.3 degrees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Juers</dc:creator>
  <cp:lastModifiedBy>Doug Juers</cp:lastModifiedBy>
  <dcterms:created xsi:type="dcterms:W3CDTF">2025-05-12T16:08:22Z</dcterms:created>
  <dcterms:modified xsi:type="dcterms:W3CDTF">2025-06-10T03:37:07Z</dcterms:modified>
</cp:coreProperties>
</file>